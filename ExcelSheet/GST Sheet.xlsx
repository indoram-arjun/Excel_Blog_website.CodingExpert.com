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38" documentId="13_ncr:1_{154120CC-5E59-4619-836C-98DA8DB7C8D9}" xr6:coauthVersionLast="47" xr6:coauthVersionMax="47" xr10:uidLastSave="{450489FA-9E6E-48B0-B914-0AF0CE11F19D}"/>
  <bookViews>
    <workbookView xWindow="-108" yWindow="-108" windowWidth="23256" windowHeight="12456" activeTab="1" xr2:uid="{E2E1FF3D-FB9A-4E50-B7E4-F4F20C4B82A5}"/>
  </bookViews>
  <sheets>
    <sheet name="Formula For GST Sheet" sheetId="2" r:id="rId1"/>
    <sheet name="GST SHeet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J5" i="1"/>
  <c r="M6" i="1"/>
  <c r="I5" i="1"/>
  <c r="J6" i="1" l="1"/>
  <c r="J7" i="1"/>
  <c r="J8" i="1"/>
  <c r="K8" i="1" s="1"/>
  <c r="J9" i="1"/>
  <c r="K9" i="1" s="1"/>
  <c r="J10" i="1"/>
  <c r="K10" i="1" s="1"/>
  <c r="J11" i="1"/>
  <c r="K11" i="1" s="1"/>
  <c r="J12" i="1"/>
  <c r="J13" i="1"/>
  <c r="K13" i="1" s="1"/>
  <c r="J14" i="1"/>
  <c r="K14" i="1" s="1"/>
  <c r="K6" i="1"/>
  <c r="K7" i="1"/>
  <c r="K12" i="1"/>
  <c r="I6" i="1"/>
  <c r="I7" i="1"/>
  <c r="I8" i="1"/>
  <c r="I9" i="1"/>
  <c r="I10" i="1"/>
  <c r="I11" i="1"/>
  <c r="I12" i="1"/>
  <c r="I13" i="1"/>
  <c r="I14" i="1"/>
  <c r="G6" i="1"/>
  <c r="G7" i="1"/>
  <c r="G8" i="1"/>
  <c r="G9" i="1"/>
  <c r="G10" i="1"/>
  <c r="G11" i="1"/>
  <c r="G12" i="1"/>
  <c r="G13" i="1"/>
  <c r="G14" i="1"/>
  <c r="G5" i="1"/>
</calcChain>
</file>

<file path=xl/sharedStrings.xml><?xml version="1.0" encoding="utf-8"?>
<sst xmlns="http://schemas.openxmlformats.org/spreadsheetml/2006/main" count="41" uniqueCount="31">
  <si>
    <t>Serial No</t>
  </si>
  <si>
    <t>Name</t>
  </si>
  <si>
    <t>Product Name</t>
  </si>
  <si>
    <t xml:space="preserve">Qty </t>
  </si>
  <si>
    <t>Price</t>
  </si>
  <si>
    <t>Amount</t>
  </si>
  <si>
    <t>GST(18%)</t>
  </si>
  <si>
    <t>SGST</t>
  </si>
  <si>
    <t>CGST</t>
  </si>
  <si>
    <t>Total Amount</t>
  </si>
  <si>
    <t>Mahi</t>
  </si>
  <si>
    <t>Priya</t>
  </si>
  <si>
    <t>Ali</t>
  </si>
  <si>
    <t>Neha</t>
  </si>
  <si>
    <t>Muskan</t>
  </si>
  <si>
    <t>Abbas</t>
  </si>
  <si>
    <t>Rahul</t>
  </si>
  <si>
    <t>Ratan</t>
  </si>
  <si>
    <t>Diksha</t>
  </si>
  <si>
    <t>Payal</t>
  </si>
  <si>
    <t>Mouse</t>
  </si>
  <si>
    <t>Printer</t>
  </si>
  <si>
    <t>Scanner</t>
  </si>
  <si>
    <t>Laptop</t>
  </si>
  <si>
    <t>Tab</t>
  </si>
  <si>
    <t>State Goods And Services Tax</t>
  </si>
  <si>
    <t>Amount*GST/2</t>
  </si>
  <si>
    <t>Amount+SGST+CGST</t>
  </si>
  <si>
    <t>Central Goods And Services Tax</t>
  </si>
  <si>
    <t>Formula For Goods And Services Tax</t>
  </si>
  <si>
    <t xml:space="preserve">GST (Goods And Services Taxs)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</si>
</sst>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D687-5CF2-4728-9E2E-01B27E153228}">
  <dimension ref="C2:E6"/>
  <sheetViews>
    <sheetView workbookViewId="0">
      <selection activeCell="C13" sqref="C13"/>
    </sheetView>
  </sheetViews>
  <sheetFormatPr defaultColWidth="9.109375" defaultRowHeight="22.8" x14ac:dyDescent="0.4"/>
  <cols>
    <col min="1" max="2" width="9.109375" style="1"/>
    <col min="3" max="3" width="47.5546875" style="1" bestFit="1" customWidth="1"/>
    <col min="4" max="4" width="28.5546875" style="1" customWidth="1"/>
    <col min="5" max="5" width="33.44140625" style="1" bestFit="1" customWidth="1"/>
    <col min="6" max="16384" width="9.109375" style="1"/>
  </cols>
  <sheetData>
    <row r="2" spans="3:5" ht="23.4" thickBot="1" x14ac:dyDescent="0.45">
      <c r="C2" s="13" t="s">
        <v>29</v>
      </c>
      <c r="D2" s="13"/>
      <c r="E2" s="13"/>
    </row>
    <row r="4" spans="3:5" ht="23.4" thickBot="1" x14ac:dyDescent="0.45">
      <c r="C4" s="2" t="s">
        <v>25</v>
      </c>
      <c r="D4" s="2" t="s">
        <v>7</v>
      </c>
      <c r="E4" s="2" t="s">
        <v>26</v>
      </c>
    </row>
    <row r="5" spans="3:5" ht="23.4" thickBot="1" x14ac:dyDescent="0.45">
      <c r="C5" s="3" t="s">
        <v>28</v>
      </c>
      <c r="D5" s="3" t="s">
        <v>8</v>
      </c>
      <c r="E5" s="3" t="s">
        <v>26</v>
      </c>
    </row>
    <row r="6" spans="3:5" ht="23.4" thickBot="1" x14ac:dyDescent="0.45">
      <c r="C6" s="2" t="s">
        <v>9</v>
      </c>
      <c r="D6" s="2" t="s">
        <v>9</v>
      </c>
      <c r="E6" s="2" t="s">
        <v>27</v>
      </c>
    </row>
  </sheetData>
  <mergeCells count="1">
    <mergeCell ref="C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E668-1384-4441-ADBD-0C9DB3340FC1}">
  <dimension ref="B2:M14"/>
  <sheetViews>
    <sheetView tabSelected="1" zoomScale="104" workbookViewId="0">
      <selection activeCell="K6" sqref="K6"/>
    </sheetView>
  </sheetViews>
  <sheetFormatPr defaultRowHeight="14.4" x14ac:dyDescent="0.3"/>
  <cols>
    <col min="2" max="2" width="12.5546875" bestFit="1" customWidth="1"/>
    <col min="3" max="3" width="10.6640625" bestFit="1" customWidth="1"/>
    <col min="4" max="4" width="18.6640625" bestFit="1" customWidth="1"/>
    <col min="5" max="5" width="6.33203125" bestFit="1" customWidth="1"/>
    <col min="6" max="6" width="9.88671875" bestFit="1" customWidth="1"/>
    <col min="7" max="7" width="11" bestFit="1" customWidth="1"/>
    <col min="8" max="8" width="14.5546875" bestFit="1" customWidth="1"/>
    <col min="9" max="10" width="9.109375" bestFit="1" customWidth="1"/>
    <col min="11" max="11" width="18.33203125" bestFit="1" customWidth="1"/>
  </cols>
  <sheetData>
    <row r="2" spans="2:13" ht="23.4" thickBot="1" x14ac:dyDescent="0.45">
      <c r="D2" s="13" t="s">
        <v>30</v>
      </c>
      <c r="E2" s="13"/>
      <c r="F2" s="13"/>
      <c r="G2" s="13"/>
      <c r="H2" s="13"/>
      <c r="I2" s="13"/>
      <c r="J2" s="13"/>
    </row>
    <row r="4" spans="2:13" ht="21" x14ac:dyDescent="0.3"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9</v>
      </c>
    </row>
    <row r="5" spans="2:13" ht="21" x14ac:dyDescent="0.3">
      <c r="B5" s="10">
        <v>1</v>
      </c>
      <c r="C5" s="10" t="s">
        <v>10</v>
      </c>
      <c r="D5" s="10" t="s">
        <v>20</v>
      </c>
      <c r="E5" s="10">
        <v>2</v>
      </c>
      <c r="F5" s="10">
        <v>2000</v>
      </c>
      <c r="G5" s="10">
        <f>E5*F5</f>
        <v>4000</v>
      </c>
      <c r="H5" s="11">
        <v>0.18</v>
      </c>
      <c r="I5" s="10">
        <f>G5*H5/2</f>
        <v>360</v>
      </c>
      <c r="J5" s="10">
        <f>G5*9%</f>
        <v>360</v>
      </c>
      <c r="K5" s="10">
        <f>G5+I5+J5</f>
        <v>4720</v>
      </c>
    </row>
    <row r="6" spans="2:13" ht="21" x14ac:dyDescent="0.3">
      <c r="B6" s="4">
        <v>2</v>
      </c>
      <c r="C6" s="4" t="s">
        <v>11</v>
      </c>
      <c r="D6" s="4" t="s">
        <v>21</v>
      </c>
      <c r="E6" s="4">
        <v>3</v>
      </c>
      <c r="F6" s="4">
        <v>15000</v>
      </c>
      <c r="G6" s="10">
        <f t="shared" ref="G6:G14" si="0">E6*F6</f>
        <v>45000</v>
      </c>
      <c r="H6" s="5">
        <v>0.18</v>
      </c>
      <c r="I6" s="10">
        <f t="shared" ref="I6:I14" si="1">G6*H6/2</f>
        <v>4050</v>
      </c>
      <c r="J6" s="10">
        <f t="shared" ref="J6:J14" si="2">G6*9%</f>
        <v>4050</v>
      </c>
      <c r="K6" s="10">
        <f t="shared" ref="K6:K14" si="3">G6+I6+J6</f>
        <v>53100</v>
      </c>
      <c r="M6">
        <f>G5*H5</f>
        <v>720</v>
      </c>
    </row>
    <row r="7" spans="2:13" ht="21" x14ac:dyDescent="0.3">
      <c r="B7" s="4">
        <v>3</v>
      </c>
      <c r="C7" s="4" t="s">
        <v>12</v>
      </c>
      <c r="D7" s="4" t="s">
        <v>22</v>
      </c>
      <c r="E7" s="4">
        <v>5</v>
      </c>
      <c r="F7" s="6">
        <v>20000</v>
      </c>
      <c r="G7" s="10">
        <f t="shared" si="0"/>
        <v>100000</v>
      </c>
      <c r="H7" s="5">
        <v>0.18</v>
      </c>
      <c r="I7" s="10">
        <f t="shared" si="1"/>
        <v>9000</v>
      </c>
      <c r="J7" s="10">
        <f t="shared" si="2"/>
        <v>9000</v>
      </c>
      <c r="K7" s="10">
        <f t="shared" si="3"/>
        <v>118000</v>
      </c>
    </row>
    <row r="8" spans="2:13" ht="21" x14ac:dyDescent="0.3">
      <c r="B8" s="4">
        <v>4</v>
      </c>
      <c r="C8" s="4" t="s">
        <v>13</v>
      </c>
      <c r="D8" s="4" t="s">
        <v>23</v>
      </c>
      <c r="E8" s="4">
        <v>6</v>
      </c>
      <c r="F8" s="6">
        <v>40000</v>
      </c>
      <c r="G8" s="10">
        <f t="shared" si="0"/>
        <v>240000</v>
      </c>
      <c r="H8" s="5">
        <v>0.18</v>
      </c>
      <c r="I8" s="10">
        <f t="shared" si="1"/>
        <v>21600</v>
      </c>
      <c r="J8" s="10">
        <f t="shared" si="2"/>
        <v>21600</v>
      </c>
      <c r="K8" s="10">
        <f t="shared" si="3"/>
        <v>283200</v>
      </c>
    </row>
    <row r="9" spans="2:13" ht="21" x14ac:dyDescent="0.3">
      <c r="B9" s="4">
        <v>5</v>
      </c>
      <c r="C9" s="4" t="s">
        <v>14</v>
      </c>
      <c r="D9" s="4" t="s">
        <v>24</v>
      </c>
      <c r="E9" s="4">
        <v>1</v>
      </c>
      <c r="F9" s="6">
        <v>25000</v>
      </c>
      <c r="G9" s="10">
        <f t="shared" si="0"/>
        <v>25000</v>
      </c>
      <c r="H9" s="5">
        <v>0.18</v>
      </c>
      <c r="I9" s="10">
        <f t="shared" si="1"/>
        <v>2250</v>
      </c>
      <c r="J9" s="10">
        <f t="shared" si="2"/>
        <v>2250</v>
      </c>
      <c r="K9" s="10">
        <f t="shared" si="3"/>
        <v>29500</v>
      </c>
    </row>
    <row r="10" spans="2:13" ht="21" x14ac:dyDescent="0.3">
      <c r="B10" s="4">
        <v>6</v>
      </c>
      <c r="C10" s="4" t="s">
        <v>15</v>
      </c>
      <c r="D10" s="4" t="s">
        <v>20</v>
      </c>
      <c r="E10" s="4">
        <v>2</v>
      </c>
      <c r="F10" s="6">
        <v>200</v>
      </c>
      <c r="G10" s="10">
        <f t="shared" si="0"/>
        <v>400</v>
      </c>
      <c r="H10" s="5">
        <v>0.18</v>
      </c>
      <c r="I10" s="10">
        <f t="shared" si="1"/>
        <v>36</v>
      </c>
      <c r="J10" s="10">
        <f t="shared" si="2"/>
        <v>36</v>
      </c>
      <c r="K10" s="10">
        <f t="shared" si="3"/>
        <v>472</v>
      </c>
    </row>
    <row r="11" spans="2:13" ht="21" x14ac:dyDescent="0.3">
      <c r="B11" s="4">
        <v>7</v>
      </c>
      <c r="C11" s="4" t="s">
        <v>16</v>
      </c>
      <c r="D11" s="4" t="s">
        <v>21</v>
      </c>
      <c r="E11" s="4">
        <v>7</v>
      </c>
      <c r="F11" s="6">
        <v>3000</v>
      </c>
      <c r="G11" s="10">
        <f t="shared" si="0"/>
        <v>21000</v>
      </c>
      <c r="H11" s="5">
        <v>0.18</v>
      </c>
      <c r="I11" s="10">
        <f t="shared" si="1"/>
        <v>1890</v>
      </c>
      <c r="J11" s="10">
        <f t="shared" si="2"/>
        <v>1890</v>
      </c>
      <c r="K11" s="10">
        <f t="shared" si="3"/>
        <v>24780</v>
      </c>
    </row>
    <row r="12" spans="2:13" ht="21" x14ac:dyDescent="0.3">
      <c r="B12" s="4">
        <v>8</v>
      </c>
      <c r="C12" s="4" t="s">
        <v>17</v>
      </c>
      <c r="D12" s="4" t="s">
        <v>22</v>
      </c>
      <c r="E12" s="4">
        <v>2</v>
      </c>
      <c r="F12" s="6">
        <v>23000</v>
      </c>
      <c r="G12" s="10">
        <f t="shared" si="0"/>
        <v>46000</v>
      </c>
      <c r="H12" s="5">
        <v>0.18</v>
      </c>
      <c r="I12" s="10">
        <f t="shared" si="1"/>
        <v>4140</v>
      </c>
      <c r="J12" s="10">
        <f t="shared" si="2"/>
        <v>4140</v>
      </c>
      <c r="K12" s="10">
        <f t="shared" si="3"/>
        <v>54280</v>
      </c>
    </row>
    <row r="13" spans="2:13" ht="21" x14ac:dyDescent="0.3">
      <c r="B13" s="4">
        <v>9</v>
      </c>
      <c r="C13" s="4" t="s">
        <v>18</v>
      </c>
      <c r="D13" s="4" t="s">
        <v>23</v>
      </c>
      <c r="E13" s="4">
        <v>4</v>
      </c>
      <c r="F13" s="6">
        <v>50000</v>
      </c>
      <c r="G13" s="10">
        <f t="shared" si="0"/>
        <v>200000</v>
      </c>
      <c r="H13" s="5">
        <v>0.18</v>
      </c>
      <c r="I13" s="10">
        <f t="shared" si="1"/>
        <v>18000</v>
      </c>
      <c r="J13" s="10">
        <f t="shared" si="2"/>
        <v>18000</v>
      </c>
      <c r="K13" s="10">
        <f t="shared" si="3"/>
        <v>236000</v>
      </c>
    </row>
    <row r="14" spans="2:13" ht="21.6" thickBot="1" x14ac:dyDescent="0.35">
      <c r="B14" s="7">
        <v>10</v>
      </c>
      <c r="C14" s="7" t="s">
        <v>19</v>
      </c>
      <c r="D14" s="7" t="s">
        <v>24</v>
      </c>
      <c r="E14" s="7">
        <v>2</v>
      </c>
      <c r="F14" s="8">
        <v>23000</v>
      </c>
      <c r="G14" s="10">
        <f t="shared" si="0"/>
        <v>46000</v>
      </c>
      <c r="H14" s="9">
        <v>0.18</v>
      </c>
      <c r="I14" s="10">
        <f t="shared" si="1"/>
        <v>4140</v>
      </c>
      <c r="J14" s="10">
        <f t="shared" si="2"/>
        <v>4140</v>
      </c>
      <c r="K14" s="10">
        <f t="shared" si="3"/>
        <v>54280</v>
      </c>
    </row>
  </sheetData>
  <mergeCells count="1">
    <mergeCell ref="D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7D98-1849-4725-B36E-1B36B9D422F8}">
  <dimension ref="A1"/>
  <sheetViews>
    <sheetView workbookViewId="0">
      <selection activeCell="S17" sqref="S17"/>
    </sheetView>
  </sheetViews>
  <sheetFormatPr defaultRowHeight="14.4" x14ac:dyDescent="0.3"/>
  <cols>
    <col min="11" max="11" width="10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 For GST Sheet</vt:lpstr>
      <vt:lpstr>GST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2023-05-25T13:39:02Z</dcterms:created>
  <dcterms:modified xsi:type="dcterms:W3CDTF">2026-02-05T12:27:25Z</dcterms:modified>
</cp:coreProperties>
</file>