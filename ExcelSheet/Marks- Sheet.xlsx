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100" documentId="8_{3C80AB3F-10A9-42B4-ADC6-08FFA6C32F92}" xr6:coauthVersionLast="47" xr6:coauthVersionMax="47" xr10:uidLastSave="{E8EB5279-6F97-440E-87FE-925EE865222F}"/>
  <bookViews>
    <workbookView xWindow="-108" yWindow="-108" windowWidth="23256" windowHeight="12456" xr2:uid="{909AEFA4-EE04-4593-879B-F78FCA38CB44}"/>
  </bookViews>
  <sheets>
    <sheet name="Mark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7" i="1"/>
  <c r="N8" i="1"/>
  <c r="N9" i="1"/>
  <c r="N10" i="1"/>
  <c r="N11" i="1"/>
  <c r="N12" i="1"/>
  <c r="N13" i="1"/>
  <c r="N14" i="1"/>
  <c r="M6" i="1"/>
  <c r="M7" i="1"/>
  <c r="M8" i="1"/>
  <c r="M9" i="1"/>
  <c r="M10" i="1"/>
  <c r="M11" i="1"/>
  <c r="M12" i="1"/>
  <c r="M13" i="1"/>
  <c r="M14" i="1"/>
  <c r="M5" i="1"/>
  <c r="K5" i="1"/>
  <c r="J6" i="1"/>
  <c r="J7" i="1"/>
  <c r="J8" i="1"/>
  <c r="J9" i="1"/>
  <c r="J10" i="1"/>
  <c r="J11" i="1"/>
  <c r="J12" i="1"/>
  <c r="J13" i="1"/>
  <c r="J14" i="1"/>
  <c r="J5" i="1"/>
  <c r="L5" i="1"/>
  <c r="N20" i="1" a="1"/>
  <c r="N20" i="1" s="1"/>
  <c r="N21" i="1" a="1"/>
  <c r="N21" i="1" s="1"/>
  <c r="N22" i="1" a="1"/>
  <c r="N22" i="1"/>
  <c r="N23" i="1" a="1"/>
  <c r="N23" i="1"/>
  <c r="N24" i="1" a="1"/>
  <c r="N24" i="1"/>
  <c r="N25" i="1" a="1"/>
  <c r="N25" i="1"/>
  <c r="N26" i="1" a="1"/>
  <c r="N26" i="1"/>
  <c r="N27" i="1" a="1"/>
  <c r="N27" i="1"/>
  <c r="N28" i="1" a="1"/>
  <c r="N28" i="1"/>
  <c r="N29" i="1" a="1"/>
  <c r="N29" i="1"/>
  <c r="M21" i="1"/>
  <c r="M22" i="1"/>
  <c r="M23" i="1"/>
  <c r="M24" i="1"/>
  <c r="M25" i="1"/>
  <c r="M26" i="1"/>
  <c r="M27" i="1"/>
  <c r="M28" i="1"/>
  <c r="M29" i="1"/>
  <c r="M2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K7" i="1"/>
  <c r="L8" i="1"/>
  <c r="K8" i="1"/>
  <c r="K12" i="1"/>
  <c r="L9" i="1"/>
  <c r="L7" i="1"/>
  <c r="K14" i="1" l="1"/>
  <c r="K6" i="1"/>
  <c r="L6" i="1"/>
  <c r="L10" i="1"/>
  <c r="L14" i="1"/>
  <c r="K13" i="1"/>
  <c r="L13" i="1"/>
  <c r="K10" i="1"/>
  <c r="L12" i="1"/>
  <c r="K9" i="1"/>
  <c r="L11" i="1"/>
  <c r="K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<sst xmlns="http://schemas.openxmlformats.org/spreadsheetml/2006/main" count="48" uniqueCount="23">
  <si>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SR No</t>
  </si>
  <si>
    <t>Name</t>
  </si>
  <si>
    <t>Rollno</t>
  </si>
  <si>
    <t>Math</t>
  </si>
  <si>
    <t>Hindi</t>
  </si>
  <si>
    <t>Science</t>
  </si>
  <si>
    <t>Social Science</t>
  </si>
  <si>
    <t>Total Marks</t>
  </si>
  <si>
    <t>Max Marks</t>
  </si>
  <si>
    <t>Min Marks</t>
  </si>
  <si>
    <t>%</t>
  </si>
  <si>
    <t>Grade</t>
  </si>
  <si>
    <t>Mahi</t>
  </si>
  <si>
    <t>Priya</t>
  </si>
  <si>
    <t>Annu</t>
  </si>
  <si>
    <t>Mehak</t>
  </si>
  <si>
    <t>Anshal</t>
  </si>
  <si>
    <t>Muskan</t>
  </si>
  <si>
    <t>Payal</t>
  </si>
  <si>
    <t>Neha</t>
  </si>
  <si>
    <t>English</t>
  </si>
  <si>
    <t>Marks Sheet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</si>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</sst>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E9F7-2F5D-4BEC-9C8F-54E9E5F987D4}">
  <sheetPr>
    <tabColor theme="3" tint="0.79998168889431442"/>
  </sheetPr>
  <dimension ref="B2:N29"/>
  <sheetViews>
    <sheetView tabSelected="1" topLeftCell="A2" workbookViewId="0">
      <selection activeCell="N6" sqref="N6"/>
    </sheetView>
  </sheetViews>
  <sheetFormatPr defaultRowHeight="14.4" x14ac:dyDescent="0.3"/>
  <cols>
    <col min="2" max="8" width="10.109375" customWidth="1"/>
    <col min="9" max="9" width="18.6640625" bestFit="1" customWidth="1"/>
    <col min="10" max="10" width="17.6640625" customWidth="1"/>
    <col min="11" max="11" width="16.109375" customWidth="1"/>
    <col min="12" max="12" width="14.44140625" bestFit="1" customWidth="1"/>
    <col min="13" max="14" width="10.109375" customWidth="1"/>
  </cols>
  <sheetData>
    <row r="2" spans="2:14" ht="27.75" customHeight="1" thickBot="1" x14ac:dyDescent="0.55000000000000004">
      <c r="F2" s="4" t="s">
        <v>21</v>
      </c>
      <c r="G2" s="4"/>
      <c r="H2" s="4"/>
      <c r="I2" s="4"/>
      <c r="J2" s="4"/>
      <c r="K2" s="4"/>
    </row>
    <row r="4" spans="2:14" ht="21.6" thickBot="1" x14ac:dyDescent="0.35">
      <c r="B4" s="3" t="s">
        <v>0</v>
      </c>
      <c r="C4" s="3" t="s">
        <v>1</v>
      </c>
      <c r="D4" s="3" t="s">
        <v>2</v>
      </c>
      <c r="E4" s="3" t="s">
        <v>3</v>
      </c>
      <c r="F4" s="3" t="s">
        <v>20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</row>
    <row r="5" spans="2:14" ht="21" x14ac:dyDescent="0.3">
      <c r="B5" s="1">
        <v>1</v>
      </c>
      <c r="C5" s="1" t="s">
        <v>12</v>
      </c>
      <c r="D5" s="1">
        <v>12</v>
      </c>
      <c r="E5" s="1">
        <v>91</v>
      </c>
      <c r="F5" s="1">
        <v>71</v>
      </c>
      <c r="G5" s="1">
        <v>91</v>
      </c>
      <c r="H5" s="1">
        <v>98</v>
      </c>
      <c r="I5" s="1">
        <v>91</v>
      </c>
      <c r="J5" s="1">
        <f>SUM(E5:I5)</f>
        <v>442</v>
      </c>
      <c r="K5" s="1">
        <f>MAX(E5:I5)</f>
        <v>98</v>
      </c>
      <c r="L5" s="1">
        <f>MIN(E5:I5)</f>
        <v>71</v>
      </c>
      <c r="M5" s="1">
        <f>AVERAGE(E5:I5)</f>
        <v>88.4</v>
      </c>
      <c r="N5" s="1" t="str">
        <f>IF(M5&gt;=90,"A",IF(M5&gt;=80,"B",IF(M5&gt;=60,"C",IF(M5&gt;=50,"D",IF(M5&gt;=40,"E",IF(M5&gt;=33,"Pass","Fail"))))))</f>
        <v>B</v>
      </c>
    </row>
    <row r="6" spans="2:14" ht="21" x14ac:dyDescent="0.3">
      <c r="B6" s="1">
        <v>2</v>
      </c>
      <c r="C6" s="1" t="s">
        <v>13</v>
      </c>
      <c r="D6" s="1">
        <v>24</v>
      </c>
      <c r="E6" s="1">
        <v>68</v>
      </c>
      <c r="F6" s="1">
        <v>30</v>
      </c>
      <c r="G6" s="1">
        <v>30</v>
      </c>
      <c r="H6" s="1">
        <v>30</v>
      </c>
      <c r="I6" s="1">
        <v>30</v>
      </c>
      <c r="J6" s="1">
        <f>SUM(E6:I6)</f>
        <v>188</v>
      </c>
      <c r="K6" s="1">
        <f t="shared" ref="K6:K14" si="0">MAX(E6:I6)</f>
        <v>68</v>
      </c>
      <c r="L6" s="1">
        <f t="shared" ref="L6:L14" si="1">MIN(E6:I6)</f>
        <v>30</v>
      </c>
      <c r="M6" s="1">
        <f t="shared" ref="M6:M14" si="2">AVERAGE(E6:I6)</f>
        <v>37.6</v>
      </c>
      <c r="N6" s="1" t="s">
        <v>22</v>
      </c>
    </row>
    <row r="7" spans="2:14" ht="21" x14ac:dyDescent="0.3">
      <c r="B7" s="1">
        <v>3</v>
      </c>
      <c r="C7" s="1" t="s">
        <v>14</v>
      </c>
      <c r="D7" s="1">
        <v>15</v>
      </c>
      <c r="E7" s="1">
        <v>98</v>
      </c>
      <c r="F7" s="1">
        <v>90</v>
      </c>
      <c r="G7" s="1">
        <v>77</v>
      </c>
      <c r="H7" s="1">
        <v>95</v>
      </c>
      <c r="I7" s="1">
        <v>30</v>
      </c>
      <c r="J7" s="1">
        <f t="shared" ref="J6:J14" si="3">SUM(E7:I7)</f>
        <v>390</v>
      </c>
      <c r="K7" s="1">
        <f t="shared" si="0"/>
        <v>98</v>
      </c>
      <c r="L7" s="1">
        <f t="shared" si="1"/>
        <v>30</v>
      </c>
      <c r="M7" s="1">
        <f t="shared" si="2"/>
        <v>78</v>
      </c>
      <c r="N7" s="1" t="str">
        <f t="shared" ref="N6:N14" si="4">IF(M7&gt;=90,"A",IF(M7&gt;=80,"B",IF(M7&gt;=60,"C",IF(M7&gt;=50,"D",IF(M7&gt;=40,"E",IF(M7&gt;=33,"Pass","Fail"))))))</f>
        <v>C</v>
      </c>
    </row>
    <row r="8" spans="2:14" ht="21" x14ac:dyDescent="0.3">
      <c r="B8" s="1">
        <v>4</v>
      </c>
      <c r="C8" s="1" t="s">
        <v>15</v>
      </c>
      <c r="D8" s="1">
        <v>16</v>
      </c>
      <c r="E8" s="1">
        <v>95</v>
      </c>
      <c r="F8" s="1">
        <v>68</v>
      </c>
      <c r="G8" s="1">
        <v>65</v>
      </c>
      <c r="H8" s="1">
        <v>65</v>
      </c>
      <c r="I8" s="1">
        <v>66</v>
      </c>
      <c r="J8" s="1">
        <f t="shared" si="3"/>
        <v>359</v>
      </c>
      <c r="K8" s="1">
        <f t="shared" si="0"/>
        <v>95</v>
      </c>
      <c r="L8" s="1">
        <f t="shared" si="1"/>
        <v>65</v>
      </c>
      <c r="M8" s="1">
        <f t="shared" si="2"/>
        <v>71.8</v>
      </c>
      <c r="N8" s="1" t="str">
        <f t="shared" si="4"/>
        <v>C</v>
      </c>
    </row>
    <row r="9" spans="2:14" ht="21" x14ac:dyDescent="0.3">
      <c r="B9" s="1">
        <v>5</v>
      </c>
      <c r="C9" s="1" t="s">
        <v>16</v>
      </c>
      <c r="D9" s="1">
        <v>17</v>
      </c>
      <c r="E9" s="1">
        <v>81</v>
      </c>
      <c r="F9" s="1">
        <v>86</v>
      </c>
      <c r="G9" s="1">
        <v>93</v>
      </c>
      <c r="H9" s="1">
        <v>70</v>
      </c>
      <c r="I9" s="1">
        <v>92</v>
      </c>
      <c r="J9" s="1">
        <f t="shared" si="3"/>
        <v>422</v>
      </c>
      <c r="K9" s="1">
        <f t="shared" si="0"/>
        <v>93</v>
      </c>
      <c r="L9" s="1">
        <f t="shared" si="1"/>
        <v>70</v>
      </c>
      <c r="M9" s="1">
        <f t="shared" si="2"/>
        <v>84.4</v>
      </c>
      <c r="N9" s="1" t="str">
        <f t="shared" si="4"/>
        <v>B</v>
      </c>
    </row>
    <row r="10" spans="2:14" ht="21" x14ac:dyDescent="0.3">
      <c r="B10" s="1">
        <v>6</v>
      </c>
      <c r="C10" s="1" t="s">
        <v>17</v>
      </c>
      <c r="D10" s="1">
        <v>18</v>
      </c>
      <c r="E10" s="1">
        <v>97</v>
      </c>
      <c r="F10" s="1">
        <v>80</v>
      </c>
      <c r="G10" s="1">
        <v>63</v>
      </c>
      <c r="H10" s="1">
        <v>68</v>
      </c>
      <c r="I10" s="1">
        <v>88</v>
      </c>
      <c r="J10" s="1">
        <f t="shared" si="3"/>
        <v>396</v>
      </c>
      <c r="K10" s="1">
        <f t="shared" si="0"/>
        <v>97</v>
      </c>
      <c r="L10" s="1">
        <f t="shared" si="1"/>
        <v>63</v>
      </c>
      <c r="M10" s="1">
        <f t="shared" si="2"/>
        <v>79.2</v>
      </c>
      <c r="N10" s="1" t="str">
        <f t="shared" si="4"/>
        <v>C</v>
      </c>
    </row>
    <row r="11" spans="2:14" ht="21" x14ac:dyDescent="0.3">
      <c r="B11" s="1">
        <v>7</v>
      </c>
      <c r="C11" s="1" t="s">
        <v>12</v>
      </c>
      <c r="D11" s="1">
        <v>19</v>
      </c>
      <c r="E11" s="1">
        <v>88</v>
      </c>
      <c r="F11" s="1">
        <v>64</v>
      </c>
      <c r="G11" s="1">
        <v>61</v>
      </c>
      <c r="H11" s="1">
        <v>95</v>
      </c>
      <c r="I11" s="1">
        <v>77</v>
      </c>
      <c r="J11" s="1">
        <f t="shared" si="3"/>
        <v>385</v>
      </c>
      <c r="K11" s="1">
        <f t="shared" si="0"/>
        <v>95</v>
      </c>
      <c r="L11" s="1">
        <f t="shared" si="1"/>
        <v>61</v>
      </c>
      <c r="M11" s="1">
        <f t="shared" si="2"/>
        <v>77</v>
      </c>
      <c r="N11" s="1" t="str">
        <f t="shared" si="4"/>
        <v>C</v>
      </c>
    </row>
    <row r="12" spans="2:14" ht="21" x14ac:dyDescent="0.3">
      <c r="B12" s="1">
        <v>8</v>
      </c>
      <c r="C12" s="1" t="s">
        <v>13</v>
      </c>
      <c r="D12" s="1">
        <v>90</v>
      </c>
      <c r="E12" s="1">
        <v>77</v>
      </c>
      <c r="F12" s="1">
        <v>73</v>
      </c>
      <c r="G12" s="1">
        <v>73</v>
      </c>
      <c r="H12" s="1">
        <v>92</v>
      </c>
      <c r="I12" s="1">
        <v>62</v>
      </c>
      <c r="J12" s="1">
        <f t="shared" si="3"/>
        <v>377</v>
      </c>
      <c r="K12" s="1">
        <f t="shared" si="0"/>
        <v>92</v>
      </c>
      <c r="L12" s="1">
        <f t="shared" si="1"/>
        <v>62</v>
      </c>
      <c r="M12" s="1">
        <f t="shared" si="2"/>
        <v>75.400000000000006</v>
      </c>
      <c r="N12" s="1" t="str">
        <f t="shared" si="4"/>
        <v>C</v>
      </c>
    </row>
    <row r="13" spans="2:14" ht="21" x14ac:dyDescent="0.3">
      <c r="B13" s="1">
        <v>9</v>
      </c>
      <c r="C13" s="1" t="s">
        <v>18</v>
      </c>
      <c r="D13" s="1">
        <v>76</v>
      </c>
      <c r="E13" s="1">
        <v>69</v>
      </c>
      <c r="F13" s="1">
        <v>79</v>
      </c>
      <c r="G13" s="1">
        <v>65</v>
      </c>
      <c r="H13" s="1">
        <v>70</v>
      </c>
      <c r="I13" s="1">
        <v>69</v>
      </c>
      <c r="J13" s="1">
        <f t="shared" si="3"/>
        <v>352</v>
      </c>
      <c r="K13" s="1">
        <f t="shared" si="0"/>
        <v>79</v>
      </c>
      <c r="L13" s="1">
        <f t="shared" si="1"/>
        <v>65</v>
      </c>
      <c r="M13" s="1">
        <f t="shared" si="2"/>
        <v>70.400000000000006</v>
      </c>
      <c r="N13" s="1" t="str">
        <f t="shared" si="4"/>
        <v>C</v>
      </c>
    </row>
    <row r="14" spans="2:14" ht="21.6" thickBot="1" x14ac:dyDescent="0.35">
      <c r="B14" s="2">
        <v>10</v>
      </c>
      <c r="C14" s="2" t="s">
        <v>19</v>
      </c>
      <c r="D14" s="2">
        <v>56</v>
      </c>
      <c r="E14" s="2">
        <v>97</v>
      </c>
      <c r="F14" s="2">
        <v>72</v>
      </c>
      <c r="G14" s="2">
        <v>88</v>
      </c>
      <c r="H14" s="2">
        <v>82</v>
      </c>
      <c r="I14" s="2">
        <v>69</v>
      </c>
      <c r="J14" s="1">
        <f t="shared" si="3"/>
        <v>408</v>
      </c>
      <c r="K14" s="2">
        <f t="shared" si="0"/>
        <v>97</v>
      </c>
      <c r="L14" s="2">
        <f t="shared" si="1"/>
        <v>69</v>
      </c>
      <c r="M14" s="1">
        <f t="shared" si="2"/>
        <v>81.599999999999994</v>
      </c>
      <c r="N14" s="1" t="str">
        <f t="shared" si="4"/>
        <v>B</v>
      </c>
    </row>
    <row r="19" spans="2:14" ht="21.6" thickBot="1" x14ac:dyDescent="0.35">
      <c r="B19" s="3" t="s">
        <v>0</v>
      </c>
      <c r="C19" s="3" t="s">
        <v>1</v>
      </c>
      <c r="D19" s="3" t="s">
        <v>2</v>
      </c>
      <c r="E19" s="3" t="s">
        <v>3</v>
      </c>
      <c r="F19" s="3" t="s">
        <v>20</v>
      </c>
      <c r="G19" s="3" t="s">
        <v>4</v>
      </c>
      <c r="H19" s="3" t="s">
        <v>5</v>
      </c>
      <c r="I19" s="3" t="s">
        <v>6</v>
      </c>
      <c r="J19" s="3" t="s">
        <v>7</v>
      </c>
      <c r="K19" s="3" t="s">
        <v>8</v>
      </c>
      <c r="L19" s="3" t="s">
        <v>9</v>
      </c>
      <c r="M19" s="1" t="s">
        <v>10</v>
      </c>
      <c r="N19" s="1" t="s">
        <v>11</v>
      </c>
    </row>
    <row r="20" spans="2:14" ht="21" x14ac:dyDescent="0.3">
      <c r="B20" s="1">
        <v>1</v>
      </c>
      <c r="C20" s="1" t="s">
        <v>12</v>
      </c>
      <c r="D20" s="1">
        <v>12</v>
      </c>
      <c r="E20" s="1">
        <v>91</v>
      </c>
      <c r="F20" s="1">
        <v>71</v>
      </c>
      <c r="G20" s="1">
        <v>91</v>
      </c>
      <c r="H20" s="1">
        <v>98</v>
      </c>
      <c r="I20" s="1">
        <v>91</v>
      </c>
      <c r="J20" s="1">
        <f>SUM(E20:I20)</f>
        <v>442</v>
      </c>
      <c r="K20" s="1">
        <f>MAX(E20:I20)</f>
        <v>98</v>
      </c>
      <c r="L20" s="1">
        <f>MIN(E20:I20)</f>
        <v>71</v>
      </c>
      <c r="M20">
        <f>AVERAGE(E20:I20)</f>
        <v>88.4</v>
      </c>
      <c r="N20" t="str" cm="1">
        <f t="array" ref="N20">_xlfn.IFS(M20&gt;=90,"A",M20&gt;80,"B",M20&gt;70,"C",M20&gt;=40,"pass",M20&lt;=32,"fail")</f>
        <v>B</v>
      </c>
    </row>
    <row r="21" spans="2:14" ht="21" x14ac:dyDescent="0.3">
      <c r="B21" s="1">
        <v>2</v>
      </c>
      <c r="C21" s="1" t="s">
        <v>13</v>
      </c>
      <c r="D21" s="1">
        <v>24</v>
      </c>
      <c r="E21" s="1">
        <v>68</v>
      </c>
      <c r="F21" s="1">
        <v>30</v>
      </c>
      <c r="G21" s="1">
        <v>30</v>
      </c>
      <c r="H21" s="1">
        <v>30</v>
      </c>
      <c r="I21" s="1">
        <v>30</v>
      </c>
      <c r="J21" s="1">
        <f t="shared" ref="J21:J24" si="5">SUM(E21:I21)</f>
        <v>188</v>
      </c>
      <c r="K21" s="1">
        <f t="shared" ref="K21:K29" si="6">MAX(E21:I21)</f>
        <v>68</v>
      </c>
      <c r="L21" s="1">
        <f t="shared" ref="L21:L29" si="7">MIN(E21:I21)</f>
        <v>30</v>
      </c>
      <c r="M21">
        <f t="shared" ref="M21:M29" si="8">AVERAGE(E21:I21)</f>
        <v>37.6</v>
      </c>
      <c r="N21" t="str" cm="1">
        <f t="array" ref="N21">_xlfn.IFS(M21&gt;=90,"A",M21&gt;80,"B",M21&gt;70,"C",M21&gt;=40,"pass",M21&gt;=32,"fail")</f>
        <v>fail</v>
      </c>
    </row>
    <row r="22" spans="2:14" ht="21" x14ac:dyDescent="0.3">
      <c r="B22" s="1">
        <v>3</v>
      </c>
      <c r="C22" s="1" t="s">
        <v>14</v>
      </c>
      <c r="D22" s="1">
        <v>15</v>
      </c>
      <c r="E22" s="1">
        <v>98</v>
      </c>
      <c r="F22" s="1">
        <v>90</v>
      </c>
      <c r="G22" s="1">
        <v>77</v>
      </c>
      <c r="H22" s="1">
        <v>95</v>
      </c>
      <c r="I22" s="1">
        <v>30</v>
      </c>
      <c r="J22" s="1">
        <f t="shared" si="5"/>
        <v>390</v>
      </c>
      <c r="K22" s="1">
        <f t="shared" si="6"/>
        <v>98</v>
      </c>
      <c r="L22" s="1">
        <f t="shared" si="7"/>
        <v>30</v>
      </c>
      <c r="M22">
        <f t="shared" si="8"/>
        <v>78</v>
      </c>
      <c r="N22" t="str" cm="1">
        <f t="array" ref="N22">_xlfn.IFS(M22&gt;=90,"A",M22&gt;80,"B",M22&gt;70,"C",M22&gt;=40,"pass",M22&lt;=32,"fail")</f>
        <v>C</v>
      </c>
    </row>
    <row r="23" spans="2:14" ht="21" x14ac:dyDescent="0.3">
      <c r="B23" s="1">
        <v>4</v>
      </c>
      <c r="C23" s="1" t="s">
        <v>15</v>
      </c>
      <c r="D23" s="1">
        <v>16</v>
      </c>
      <c r="E23" s="1">
        <v>95</v>
      </c>
      <c r="F23" s="1">
        <v>68</v>
      </c>
      <c r="G23" s="1">
        <v>65</v>
      </c>
      <c r="H23" s="1">
        <v>65</v>
      </c>
      <c r="I23" s="1">
        <v>66</v>
      </c>
      <c r="J23" s="1">
        <f t="shared" si="5"/>
        <v>359</v>
      </c>
      <c r="K23" s="1">
        <f t="shared" si="6"/>
        <v>95</v>
      </c>
      <c r="L23" s="1">
        <f t="shared" si="7"/>
        <v>65</v>
      </c>
      <c r="M23">
        <f t="shared" si="8"/>
        <v>71.8</v>
      </c>
      <c r="N23" t="str" cm="1">
        <f t="array" ref="N23">_xlfn.IFS(M23&gt;=90,"A",M23&gt;80,"B",M23&gt;70,"C",M23&gt;=40,"pass",M23&lt;=32,"fail")</f>
        <v>C</v>
      </c>
    </row>
    <row r="24" spans="2:14" ht="21" x14ac:dyDescent="0.3">
      <c r="B24" s="1">
        <v>5</v>
      </c>
      <c r="C24" s="1" t="s">
        <v>16</v>
      </c>
      <c r="D24" s="1">
        <v>17</v>
      </c>
      <c r="E24" s="1">
        <v>81</v>
      </c>
      <c r="F24" s="1">
        <v>86</v>
      </c>
      <c r="G24" s="1">
        <v>93</v>
      </c>
      <c r="H24" s="1">
        <v>70</v>
      </c>
      <c r="I24" s="1">
        <v>92</v>
      </c>
      <c r="J24" s="1">
        <f t="shared" si="5"/>
        <v>422</v>
      </c>
      <c r="K24" s="1">
        <f t="shared" si="6"/>
        <v>93</v>
      </c>
      <c r="L24" s="1">
        <f t="shared" si="7"/>
        <v>70</v>
      </c>
      <c r="M24">
        <f t="shared" si="8"/>
        <v>84.4</v>
      </c>
      <c r="N24" t="str" cm="1">
        <f t="array" ref="N24">_xlfn.IFS(M24&gt;=90,"A",M24&gt;80,"B",M24&gt;70,"C",M24&gt;=40,"pass",M24&lt;=32,"fail")</f>
        <v>B</v>
      </c>
    </row>
    <row r="25" spans="2:14" ht="21" x14ac:dyDescent="0.3">
      <c r="B25" s="1">
        <v>6</v>
      </c>
      <c r="C25" s="1" t="s">
        <v>17</v>
      </c>
      <c r="D25" s="1">
        <v>18</v>
      </c>
      <c r="E25" s="1">
        <v>97</v>
      </c>
      <c r="F25" s="1">
        <v>80</v>
      </c>
      <c r="G25" s="1">
        <v>63</v>
      </c>
      <c r="H25" s="1">
        <v>68</v>
      </c>
      <c r="I25" s="1">
        <v>88</v>
      </c>
      <c r="J25" s="1">
        <f>SUM(E25:I25)</f>
        <v>396</v>
      </c>
      <c r="K25" s="1">
        <f t="shared" si="6"/>
        <v>97</v>
      </c>
      <c r="L25" s="1">
        <f t="shared" si="7"/>
        <v>63</v>
      </c>
      <c r="M25">
        <f t="shared" si="8"/>
        <v>79.2</v>
      </c>
      <c r="N25" t="str" cm="1">
        <f t="array" ref="N25">_xlfn.IFS(M25&gt;=90,"A",M25&gt;80,"B",M25&gt;70,"C",M25&gt;=40,"pass",M25&lt;=32,"fail")</f>
        <v>C</v>
      </c>
    </row>
    <row r="26" spans="2:14" ht="21" x14ac:dyDescent="0.3">
      <c r="B26" s="1">
        <v>7</v>
      </c>
      <c r="C26" s="1" t="s">
        <v>12</v>
      </c>
      <c r="D26" s="1">
        <v>19</v>
      </c>
      <c r="E26" s="1">
        <v>88</v>
      </c>
      <c r="F26" s="1">
        <v>64</v>
      </c>
      <c r="G26" s="1">
        <v>61</v>
      </c>
      <c r="H26" s="1">
        <v>95</v>
      </c>
      <c r="I26" s="1">
        <v>77</v>
      </c>
      <c r="J26" s="1">
        <f t="shared" ref="J26:J29" si="9">SUM(E26:I26)</f>
        <v>385</v>
      </c>
      <c r="K26" s="1">
        <f t="shared" si="6"/>
        <v>95</v>
      </c>
      <c r="L26" s="1">
        <f t="shared" si="7"/>
        <v>61</v>
      </c>
      <c r="M26">
        <f t="shared" si="8"/>
        <v>77</v>
      </c>
      <c r="N26" t="str" cm="1">
        <f t="array" ref="N26">_xlfn.IFS(M26&gt;=90,"A",M26&gt;80,"B",M26&gt;70,"C",M26&gt;=40,"pass",M26&lt;=32,"fail")</f>
        <v>C</v>
      </c>
    </row>
    <row r="27" spans="2:14" ht="21" x14ac:dyDescent="0.3">
      <c r="B27" s="1">
        <v>8</v>
      </c>
      <c r="C27" s="1" t="s">
        <v>13</v>
      </c>
      <c r="D27" s="1">
        <v>90</v>
      </c>
      <c r="E27" s="1">
        <v>77</v>
      </c>
      <c r="F27" s="1">
        <v>73</v>
      </c>
      <c r="G27" s="1">
        <v>73</v>
      </c>
      <c r="H27" s="1">
        <v>92</v>
      </c>
      <c r="I27" s="1">
        <v>62</v>
      </c>
      <c r="J27" s="1">
        <f t="shared" si="9"/>
        <v>377</v>
      </c>
      <c r="K27" s="1">
        <f t="shared" si="6"/>
        <v>92</v>
      </c>
      <c r="L27" s="1">
        <f t="shared" si="7"/>
        <v>62</v>
      </c>
      <c r="M27">
        <f t="shared" si="8"/>
        <v>75.400000000000006</v>
      </c>
      <c r="N27" t="str" cm="1">
        <f t="array" ref="N27">_xlfn.IFS(M27&gt;=90,"A",M27&gt;80,"B",M27&gt;70,"C",M27&gt;=40,"pass",M27&lt;=32,"fail")</f>
        <v>C</v>
      </c>
    </row>
    <row r="28" spans="2:14" ht="21" x14ac:dyDescent="0.3">
      <c r="B28" s="1">
        <v>9</v>
      </c>
      <c r="C28" s="1" t="s">
        <v>18</v>
      </c>
      <c r="D28" s="1">
        <v>76</v>
      </c>
      <c r="E28" s="1">
        <v>69</v>
      </c>
      <c r="F28" s="1">
        <v>79</v>
      </c>
      <c r="G28" s="1">
        <v>65</v>
      </c>
      <c r="H28" s="1">
        <v>70</v>
      </c>
      <c r="I28" s="1">
        <v>69</v>
      </c>
      <c r="J28" s="1">
        <f t="shared" si="9"/>
        <v>352</v>
      </c>
      <c r="K28" s="1">
        <f t="shared" si="6"/>
        <v>79</v>
      </c>
      <c r="L28" s="1">
        <f t="shared" si="7"/>
        <v>65</v>
      </c>
      <c r="M28">
        <f t="shared" si="8"/>
        <v>70.400000000000006</v>
      </c>
      <c r="N28" t="str" cm="1">
        <f t="array" ref="N28">_xlfn.IFS(M28&gt;=90,"A",M28&gt;80,"B",M28&gt;70,"C",M28&gt;=40,"pass",M28&lt;=32,"fail")</f>
        <v>C</v>
      </c>
    </row>
    <row r="29" spans="2:14" ht="21.6" thickBot="1" x14ac:dyDescent="0.35">
      <c r="B29" s="2">
        <v>10</v>
      </c>
      <c r="C29" s="2" t="s">
        <v>19</v>
      </c>
      <c r="D29" s="2">
        <v>56</v>
      </c>
      <c r="E29" s="2">
        <v>97</v>
      </c>
      <c r="F29" s="2">
        <v>72</v>
      </c>
      <c r="G29" s="2">
        <v>88</v>
      </c>
      <c r="H29" s="2">
        <v>82</v>
      </c>
      <c r="I29" s="2">
        <v>69</v>
      </c>
      <c r="J29" s="2">
        <f t="shared" si="9"/>
        <v>408</v>
      </c>
      <c r="K29" s="2">
        <f t="shared" si="6"/>
        <v>97</v>
      </c>
      <c r="L29" s="2">
        <f t="shared" si="7"/>
        <v>69</v>
      </c>
      <c r="M29">
        <f t="shared" si="8"/>
        <v>81.599999999999994</v>
      </c>
      <c r="N29" t="str" cm="1">
        <f t="array" ref="N29">_xlfn.IFS(M29&gt;=90,"A",M29&gt;80,"B",M29&gt;70,"C",M29&gt;=40,"pass",M29&lt;=32,"fail")</f>
        <v>B</v>
      </c>
    </row>
  </sheetData>
  <mergeCells count="1">
    <mergeCell ref="F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2023-06-13T09:44:30Z</dcterms:created>
  <dcterms:modified xsi:type="dcterms:W3CDTF">2026-02-25T05:34:48Z</dcterms:modified>
</cp:coreProperties>
</file>