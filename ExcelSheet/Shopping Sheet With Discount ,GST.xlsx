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27" documentId="8_{CD11D491-DE88-4A20-84A5-AEAE26F36AEC}" xr6:coauthVersionLast="47" xr6:coauthVersionMax="47" xr10:uidLastSave="{17232E12-E500-46C2-B1E5-4EFD24D5FAD6}"/>
  <bookViews>
    <workbookView xWindow="-108" yWindow="-108" windowWidth="23256" windowHeight="12456" xr2:uid="{BBFC39A5-22F9-4F5D-A0CD-7C299E100512}"/>
  </bookViews>
  <sheets>
    <sheet name="Shopping Sheet with gst Discoun" sheetId="1" r:id="rId1"/>
    <sheet name="Formula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I7" i="1"/>
  <c r="H7" i="1"/>
  <c r="I12" i="1"/>
  <c r="K8" i="1"/>
  <c r="J8" i="1"/>
  <c r="J9" i="1"/>
  <c r="I8" i="1"/>
  <c r="I9" i="1"/>
  <c r="I10" i="1"/>
  <c r="I11" i="1"/>
  <c r="H8" i="1"/>
  <c r="H9" i="1"/>
  <c r="K9" i="1" s="1"/>
  <c r="H10" i="1"/>
  <c r="J10" i="1" s="1"/>
  <c r="H11" i="1"/>
  <c r="H12" i="1"/>
  <c r="K10" i="1" l="1"/>
  <c r="J11" i="1"/>
  <c r="K11" i="1" s="1"/>
  <c r="J12" i="1"/>
  <c r="K12" i="1" s="1"/>
</calcChain>
</file>

<file path=xl/sharedStrings.xml><?xml version="1.0" encoding="utf-8"?>
<sst xmlns="http://schemas.openxmlformats.org/spreadsheetml/2006/main" count="30" uniqueCount="27">
  <si>
    <t>Name</t>
  </si>
  <si>
    <t>Product</t>
  </si>
  <si>
    <t>Quantity</t>
  </si>
  <si>
    <t>Rate</t>
  </si>
  <si>
    <t>Amount</t>
  </si>
  <si>
    <t>Discount (20%)</t>
  </si>
  <si>
    <t>Total Amount</t>
  </si>
  <si>
    <t>Maya</t>
  </si>
  <si>
    <t>Discount</t>
  </si>
  <si>
    <t>Amount*Discount</t>
  </si>
  <si>
    <t>Quantity* Rate</t>
  </si>
  <si>
    <t>GST</t>
  </si>
  <si>
    <t xml:space="preserve"> Formula Shopping Sheet With Discount GST</t>
  </si>
  <si>
    <t>Neha</t>
  </si>
  <si>
    <t>Priya</t>
  </si>
  <si>
    <t>Muskan</t>
  </si>
  <si>
    <t>Lucky</t>
  </si>
  <si>
    <t>Mehak</t>
  </si>
  <si>
    <t>Mouse</t>
  </si>
  <si>
    <t>Scanner</t>
  </si>
  <si>
    <t>Printer</t>
  </si>
  <si>
    <t>Laptop</t>
  </si>
  <si>
    <t>Tab</t>
  </si>
  <si>
    <t>Shopping Sheet With Discount, GST</t>
  </si>
  <si>
    <t>GST(5%)</t>
  </si>
  <si>
    <t>Amount*Gst</t>
  </si>
  <si>
    <t>Amount+Gst-Discount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</si>
</sst>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2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6" xfId="0" applyFont="1" applyBorder="1"/>
    <xf numFmtId="0" fontId="3" fillId="0" borderId="8" xfId="0" applyFont="1" applyBorder="1"/>
    <xf numFmtId="0" fontId="3" fillId="2" borderId="4" xfId="0" applyFont="1" applyFill="1" applyBorder="1"/>
    <xf numFmtId="0" fontId="3" fillId="2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2093-AC21-400B-9153-9E4A4480962D}">
  <dimension ref="D4:L12"/>
  <sheetViews>
    <sheetView tabSelected="1" topLeftCell="B1" workbookViewId="0">
      <selection activeCell="K8" sqref="K8"/>
    </sheetView>
  </sheetViews>
  <sheetFormatPr defaultRowHeight="22.8" x14ac:dyDescent="0.4"/>
  <cols>
    <col min="4" max="8" width="17.5546875" style="7" customWidth="1"/>
    <col min="9" max="9" width="23.44140625" style="7" bestFit="1" customWidth="1"/>
    <col min="10" max="10" width="17.5546875" style="7" customWidth="1"/>
    <col min="11" max="11" width="20.6640625" style="7" bestFit="1" customWidth="1"/>
    <col min="12" max="12" width="20" style="7" customWidth="1"/>
  </cols>
  <sheetData>
    <row r="4" spans="4:11" ht="23.4" thickBot="1" x14ac:dyDescent="0.45">
      <c r="F4" s="12" t="s">
        <v>23</v>
      </c>
      <c r="G4" s="12"/>
      <c r="H4" s="12"/>
      <c r="I4" s="12"/>
    </row>
    <row r="6" spans="4:11" ht="23.4" thickBot="1" x14ac:dyDescent="0.45">
      <c r="D6" s="8" t="s">
        <v>0</v>
      </c>
      <c r="E6" s="8" t="s">
        <v>1</v>
      </c>
      <c r="F6" s="8" t="s">
        <v>2</v>
      </c>
      <c r="G6" s="8" t="s">
        <v>3</v>
      </c>
      <c r="H6" s="8" t="s">
        <v>4</v>
      </c>
      <c r="I6" s="8" t="s">
        <v>5</v>
      </c>
      <c r="J6" s="8" t="s">
        <v>24</v>
      </c>
      <c r="K6" s="8" t="s">
        <v>6</v>
      </c>
    </row>
    <row r="7" spans="4:11" x14ac:dyDescent="0.4">
      <c r="D7" s="9" t="s">
        <v>7</v>
      </c>
      <c r="E7" s="9" t="s">
        <v>18</v>
      </c>
      <c r="F7" s="9">
        <v>2</v>
      </c>
      <c r="G7" s="9">
        <v>200</v>
      </c>
      <c r="H7" s="9">
        <f>F7*G7</f>
        <v>400</v>
      </c>
      <c r="I7" s="9">
        <f>H7*20%</f>
        <v>80</v>
      </c>
      <c r="J7" s="9">
        <f>H7*5%</f>
        <v>20</v>
      </c>
      <c r="K7" s="9">
        <f>H7 +J7-I7</f>
        <v>340</v>
      </c>
    </row>
    <row r="8" spans="4:11" x14ac:dyDescent="0.4">
      <c r="D8" s="9" t="s">
        <v>13</v>
      </c>
      <c r="E8" s="9" t="s">
        <v>19</v>
      </c>
      <c r="F8" s="9">
        <v>3</v>
      </c>
      <c r="G8" s="9">
        <v>3000</v>
      </c>
      <c r="H8" s="9">
        <f t="shared" ref="H8:H12" si="0">F8*G8</f>
        <v>9000</v>
      </c>
      <c r="I8" s="9">
        <f t="shared" ref="I8:I11" si="1">H8*20%</f>
        <v>1800</v>
      </c>
      <c r="J8" s="9">
        <f t="shared" ref="J8:J12" si="2">H8*5%</f>
        <v>450</v>
      </c>
      <c r="K8" s="9">
        <f>H8+J8-I8</f>
        <v>7650</v>
      </c>
    </row>
    <row r="9" spans="4:11" x14ac:dyDescent="0.4">
      <c r="D9" s="9" t="s">
        <v>14</v>
      </c>
      <c r="E9" s="9" t="s">
        <v>20</v>
      </c>
      <c r="F9" s="9">
        <v>3</v>
      </c>
      <c r="G9" s="9">
        <v>15000</v>
      </c>
      <c r="H9" s="9">
        <f t="shared" si="0"/>
        <v>45000</v>
      </c>
      <c r="I9" s="9">
        <f t="shared" si="1"/>
        <v>9000</v>
      </c>
      <c r="J9" s="9">
        <f t="shared" si="2"/>
        <v>2250</v>
      </c>
      <c r="K9" s="9">
        <f t="shared" ref="K9:K12" si="3">H9+J9-I9</f>
        <v>38250</v>
      </c>
    </row>
    <row r="10" spans="4:11" x14ac:dyDescent="0.4">
      <c r="D10" s="9" t="s">
        <v>15</v>
      </c>
      <c r="E10" s="9" t="s">
        <v>21</v>
      </c>
      <c r="F10" s="9">
        <v>4</v>
      </c>
      <c r="G10" s="10">
        <v>40000</v>
      </c>
      <c r="H10" s="9">
        <f t="shared" si="0"/>
        <v>160000</v>
      </c>
      <c r="I10" s="9">
        <f t="shared" si="1"/>
        <v>32000</v>
      </c>
      <c r="J10" s="9">
        <f t="shared" si="2"/>
        <v>8000</v>
      </c>
      <c r="K10" s="9">
        <f t="shared" si="3"/>
        <v>136000</v>
      </c>
    </row>
    <row r="11" spans="4:11" x14ac:dyDescent="0.4">
      <c r="D11" s="9" t="s">
        <v>16</v>
      </c>
      <c r="E11" s="9" t="s">
        <v>20</v>
      </c>
      <c r="F11" s="9">
        <v>2</v>
      </c>
      <c r="G11" s="10">
        <v>5000</v>
      </c>
      <c r="H11" s="9">
        <f t="shared" si="0"/>
        <v>10000</v>
      </c>
      <c r="I11" s="9">
        <f t="shared" si="1"/>
        <v>2000</v>
      </c>
      <c r="J11" s="9">
        <f t="shared" si="2"/>
        <v>500</v>
      </c>
      <c r="K11" s="9">
        <f t="shared" si="3"/>
        <v>8500</v>
      </c>
    </row>
    <row r="12" spans="4:11" ht="23.4" thickBot="1" x14ac:dyDescent="0.45">
      <c r="D12" s="8" t="s">
        <v>17</v>
      </c>
      <c r="E12" s="8" t="s">
        <v>22</v>
      </c>
      <c r="F12" s="8">
        <v>3</v>
      </c>
      <c r="G12" s="11">
        <v>20000</v>
      </c>
      <c r="H12" s="8">
        <f t="shared" si="0"/>
        <v>60000</v>
      </c>
      <c r="I12" s="8">
        <f>H12*20%</f>
        <v>12000</v>
      </c>
      <c r="J12" s="8">
        <f t="shared" si="2"/>
        <v>3000</v>
      </c>
      <c r="K12" s="8">
        <f t="shared" si="3"/>
        <v>51000</v>
      </c>
    </row>
  </sheetData>
  <mergeCells count="1">
    <mergeCell ref="F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0E8-637C-4D0B-BC06-F21E85D70807}">
  <dimension ref="E5:F10"/>
  <sheetViews>
    <sheetView workbookViewId="0">
      <selection activeCell="E17" sqref="E17"/>
    </sheetView>
  </sheetViews>
  <sheetFormatPr defaultRowHeight="14.4" x14ac:dyDescent="0.3"/>
  <cols>
    <col min="5" max="5" width="27.109375" bestFit="1" customWidth="1"/>
    <col min="6" max="6" width="44" bestFit="1" customWidth="1"/>
  </cols>
  <sheetData>
    <row r="5" spans="5:6" ht="26.25" customHeight="1" thickBot="1" x14ac:dyDescent="0.35">
      <c r="E5" s="13" t="s">
        <v>12</v>
      </c>
      <c r="F5" s="13"/>
    </row>
    <row r="6" spans="5:6" ht="15" thickBot="1" x14ac:dyDescent="0.35"/>
    <row r="7" spans="5:6" ht="30.6" x14ac:dyDescent="0.55000000000000004">
      <c r="E7" s="4" t="s">
        <v>4</v>
      </c>
      <c r="F7" s="3" t="s">
        <v>10</v>
      </c>
    </row>
    <row r="8" spans="5:6" ht="30.6" x14ac:dyDescent="0.55000000000000004">
      <c r="E8" s="5" t="s">
        <v>8</v>
      </c>
      <c r="F8" s="1" t="s">
        <v>9</v>
      </c>
    </row>
    <row r="9" spans="5:6" ht="30.6" x14ac:dyDescent="0.55000000000000004">
      <c r="E9" s="5" t="s">
        <v>11</v>
      </c>
      <c r="F9" s="1" t="s">
        <v>25</v>
      </c>
    </row>
    <row r="10" spans="5:6" ht="31.2" thickBot="1" x14ac:dyDescent="0.6">
      <c r="E10" s="6" t="s">
        <v>6</v>
      </c>
      <c r="F10" s="2" t="s">
        <v>26</v>
      </c>
    </row>
  </sheetData>
  <mergeCells count="1">
    <mergeCell ref="E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154F-7569-4098-9213-9F854A54A5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Shopping Sheet with gst Discoun</vt:lpstr>
      <vt:lpstr>Formula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dcterms:created xsi:type="dcterms:W3CDTF">2023-05-23T13:46:56Z</dcterms:created>
  <dcterms:modified xsi:type="dcterms:W3CDTF">2026-02-03T12:11:13Z</dcterms:modified>
</cp:coreProperties>
</file>