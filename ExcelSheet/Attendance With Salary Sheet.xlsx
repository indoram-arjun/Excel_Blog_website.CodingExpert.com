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20" documentId="13_ncr:1_{16DC49DE-2D4B-4ED5-83AC-CED62F3337D5}" xr6:coauthVersionLast="47" xr6:coauthVersionMax="47" xr10:uidLastSave="{6AB77306-04CF-4C21-980F-971DEA4D38E7}"/>
  <bookViews>
    <workbookView xWindow="-108" yWindow="-108" windowWidth="23256" windowHeight="12456" activeTab="1" xr2:uid="{8B9CBC22-3C54-4FC5-822A-BA431F181011}"/>
  </bookViews>
  <sheets>
    <sheet name="Attendance With Salary Sheet" sheetId="1" r:id="rId1"/>
    <sheet name="Formula For attendanc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7" i="1" l="1"/>
  <c r="AR7" i="1"/>
  <c r="AP7" i="1"/>
  <c r="AO7" i="1"/>
  <c r="AS8" i="1"/>
  <c r="AS9" i="1"/>
  <c r="AS10" i="1"/>
  <c r="AS11" i="1"/>
  <c r="AS12" i="1"/>
  <c r="AM7" i="1"/>
  <c r="AL7" i="1"/>
  <c r="AR8" i="1"/>
  <c r="AO8" i="1"/>
  <c r="AO9" i="1"/>
  <c r="AR9" i="1" s="1"/>
  <c r="AO10" i="1"/>
  <c r="AR10" i="1" s="1"/>
  <c r="AO11" i="1"/>
  <c r="AR11" i="1" s="1"/>
  <c r="AO12" i="1"/>
  <c r="AR12" i="1" s="1"/>
  <c r="AM8" i="1"/>
  <c r="AL8" i="1"/>
  <c r="AL9" i="1"/>
  <c r="AL10" i="1"/>
  <c r="AL11" i="1"/>
  <c r="AL12" i="1"/>
  <c r="AK8" i="1"/>
  <c r="AK9" i="1"/>
  <c r="AK10" i="1"/>
  <c r="AK11" i="1"/>
  <c r="AK12" i="1"/>
  <c r="AK7" i="1"/>
  <c r="AJ8" i="1"/>
  <c r="AJ9" i="1"/>
  <c r="AM9" i="1" s="1"/>
  <c r="AP9" i="1" s="1"/>
  <c r="AJ10" i="1"/>
  <c r="AM10" i="1" s="1"/>
  <c r="AP10" i="1" s="1"/>
  <c r="AJ11" i="1"/>
  <c r="AM11" i="1" s="1"/>
  <c r="AJ12" i="1"/>
  <c r="AM12" i="1" s="1"/>
  <c r="AJ7" i="1"/>
  <c r="AP12" i="1" l="1"/>
  <c r="AP11" i="1"/>
  <c r="AP8" i="1"/>
</calcChain>
</file>

<file path=xl/sharedStrings.xml><?xml version="1.0" encoding="utf-8"?>
<sst xmlns="http://schemas.openxmlformats.org/spreadsheetml/2006/main" count="235" uniqueCount="50">
  <si>
    <t>Serial No</t>
  </si>
  <si>
    <t>Name</t>
  </si>
  <si>
    <t>Post</t>
  </si>
  <si>
    <t>Sunday</t>
  </si>
  <si>
    <t>Monday</t>
  </si>
  <si>
    <t>Tuesday</t>
  </si>
  <si>
    <t>Wednesday</t>
  </si>
  <si>
    <t>Thrusday</t>
  </si>
  <si>
    <t>Friday</t>
  </si>
  <si>
    <t>Saturday</t>
  </si>
  <si>
    <t xml:space="preserve">Present </t>
  </si>
  <si>
    <t>Absent</t>
  </si>
  <si>
    <t>Total Sunday</t>
  </si>
  <si>
    <t>Payal</t>
  </si>
  <si>
    <t>Rohan</t>
  </si>
  <si>
    <t>Mahi</t>
  </si>
  <si>
    <t>Priya</t>
  </si>
  <si>
    <t>Rahul</t>
  </si>
  <si>
    <t>Mayank</t>
  </si>
  <si>
    <t>Supervisor</t>
  </si>
  <si>
    <t>Worker</t>
  </si>
  <si>
    <t>Accountant</t>
  </si>
  <si>
    <t>SEO</t>
  </si>
  <si>
    <t>Computer Operator</t>
  </si>
  <si>
    <t>P</t>
  </si>
  <si>
    <t>A</t>
  </si>
  <si>
    <t>Total Attendance</t>
  </si>
  <si>
    <t>Basic Salary</t>
  </si>
  <si>
    <t>Total Present</t>
  </si>
  <si>
    <t>Total Absent</t>
  </si>
  <si>
    <t>Perday Salary</t>
  </si>
  <si>
    <t>Present Salary</t>
  </si>
  <si>
    <t>Overtime Hour</t>
  </si>
  <si>
    <t>OverTime</t>
  </si>
  <si>
    <t>Net Salary</t>
  </si>
  <si>
    <t>Countif(Select Range,"P")</t>
  </si>
  <si>
    <t>Countif(Select Range,"A")</t>
  </si>
  <si>
    <t>Countblank(Select Range)</t>
  </si>
  <si>
    <t>According To You Put Basic Salary</t>
  </si>
  <si>
    <t>Basic Salary /31</t>
  </si>
  <si>
    <t>Perday * Total Attendance</t>
  </si>
  <si>
    <t>According to you just like that :  3 Hour</t>
  </si>
  <si>
    <t>Perday /8 * OverTime Hour</t>
  </si>
  <si>
    <t>Present Salary + Over Time</t>
  </si>
  <si>
    <t xml:space="preserve">Attendance Sheet with Salary </t>
  </si>
  <si>
    <t>OverTime Hour</t>
  </si>
  <si>
    <t xml:space="preserve">OverTime </t>
  </si>
  <si>
    <t>Total Present  + Total Sunday</t>
  </si>
  <si>
    <t>Attendance Sheet With Salary Sheet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</si>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</sst>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es"/>
    </font>
    <font>
      <sz val="18"/>
      <color theme="1"/>
      <name val="Timeses"/>
    </font>
    <font>
      <b/>
      <sz val="20"/>
      <color rgb="FFFFC000"/>
      <name val="Timeses"/>
    </font>
    <font>
      <sz val="22"/>
      <color theme="1"/>
      <name val="Times New Roman"/>
      <family val="1"/>
    </font>
    <font>
      <sz val="22"/>
      <color rgb="FFFFC000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es"/>
    </font>
    <font>
      <sz val="26"/>
      <color theme="1"/>
      <name val="Timeses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4" fillId="2" borderId="2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/>
    <xf numFmtId="0" fontId="8" fillId="3" borderId="13" xfId="0" applyFont="1" applyFill="1" applyBorder="1"/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8" fillId="3" borderId="27" xfId="0" applyFont="1" applyFill="1" applyBorder="1"/>
    <xf numFmtId="0" fontId="8" fillId="3" borderId="8" xfId="0" applyFont="1" applyFill="1" applyBorder="1"/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5684-D472-4C24-BDA8-BE4AB5606CB0}">
  <dimension ref="B1:AW12"/>
  <sheetViews>
    <sheetView topLeftCell="AL2" zoomScale="85" zoomScaleNormal="70" workbookViewId="0">
      <selection activeCell="AS8" sqref="AS8"/>
    </sheetView>
  </sheetViews>
  <sheetFormatPr defaultColWidth="9.109375" defaultRowHeight="13.8"/>
  <cols>
    <col min="1" max="1" width="9.109375" style="1"/>
    <col min="2" max="2" width="18.109375" style="1" customWidth="1"/>
    <col min="3" max="3" width="12.5546875" style="1" bestFit="1" customWidth="1"/>
    <col min="4" max="4" width="28.6640625" style="1" bestFit="1" customWidth="1"/>
    <col min="5" max="5" width="11.5546875" style="1" bestFit="1" customWidth="1"/>
    <col min="6" max="6" width="12.88671875" style="1" bestFit="1" customWidth="1"/>
    <col min="7" max="7" width="13.33203125" style="1" bestFit="1" customWidth="1"/>
    <col min="8" max="8" width="18" style="1" bestFit="1" customWidth="1"/>
    <col min="9" max="9" width="14.44140625" style="1" bestFit="1" customWidth="1"/>
    <col min="10" max="10" width="10.109375" style="1" bestFit="1" customWidth="1"/>
    <col min="11" max="11" width="13.6640625" style="1" bestFit="1" customWidth="1"/>
    <col min="12" max="12" width="11.5546875" style="1" bestFit="1" customWidth="1"/>
    <col min="13" max="13" width="12.88671875" style="1" bestFit="1" customWidth="1"/>
    <col min="14" max="14" width="13.33203125" style="1" bestFit="1" customWidth="1"/>
    <col min="15" max="15" width="18" style="1" bestFit="1" customWidth="1"/>
    <col min="16" max="16" width="14.44140625" style="1" bestFit="1" customWidth="1"/>
    <col min="17" max="17" width="10.109375" style="1" bestFit="1" customWidth="1"/>
    <col min="18" max="18" width="13.6640625" style="1" bestFit="1" customWidth="1"/>
    <col min="19" max="19" width="11.5546875" style="1" bestFit="1" customWidth="1"/>
    <col min="20" max="20" width="12.88671875" style="1" bestFit="1" customWidth="1"/>
    <col min="21" max="21" width="13.33203125" style="1" bestFit="1" customWidth="1"/>
    <col min="22" max="22" width="18" style="1" bestFit="1" customWidth="1"/>
    <col min="23" max="23" width="14.44140625" style="1" bestFit="1" customWidth="1"/>
    <col min="24" max="24" width="10.109375" style="1" bestFit="1" customWidth="1"/>
    <col min="25" max="25" width="13.6640625" style="1" bestFit="1" customWidth="1"/>
    <col min="26" max="26" width="11.5546875" style="1" bestFit="1" customWidth="1"/>
    <col min="27" max="27" width="12.88671875" style="1" bestFit="1" customWidth="1"/>
    <col min="28" max="28" width="13.33203125" style="1" bestFit="1" customWidth="1"/>
    <col min="29" max="29" width="18" style="1" bestFit="1" customWidth="1"/>
    <col min="30" max="30" width="14.44140625" style="1" bestFit="1" customWidth="1"/>
    <col min="31" max="31" width="10.109375" style="1" bestFit="1" customWidth="1"/>
    <col min="32" max="32" width="13.6640625" style="1" bestFit="1" customWidth="1"/>
    <col min="33" max="33" width="11.5546875" style="1" bestFit="1" customWidth="1"/>
    <col min="34" max="34" width="12.88671875" style="1" bestFit="1" customWidth="1"/>
    <col min="35" max="35" width="13.33203125" style="1" bestFit="1" customWidth="1"/>
    <col min="36" max="36" width="12.44140625" style="1" bestFit="1" customWidth="1"/>
    <col min="37" max="37" width="11.109375" style="1" bestFit="1" customWidth="1"/>
    <col min="38" max="38" width="21.6640625" style="1" bestFit="1" customWidth="1"/>
    <col min="39" max="39" width="27.5546875" style="1" bestFit="1" customWidth="1"/>
    <col min="40" max="40" width="20.5546875" style="1" bestFit="1" customWidth="1"/>
    <col min="41" max="41" width="22.88671875" style="1" bestFit="1" customWidth="1"/>
    <col min="42" max="42" width="23.88671875" style="1" bestFit="1" customWidth="1"/>
    <col min="43" max="43" width="25.5546875" style="1" bestFit="1" customWidth="1"/>
    <col min="44" max="44" width="17.6640625" style="1" bestFit="1" customWidth="1"/>
    <col min="45" max="45" width="17.5546875" style="1" bestFit="1" customWidth="1"/>
    <col min="46" max="16384" width="9.109375" style="1"/>
  </cols>
  <sheetData>
    <row r="1" spans="2:49" ht="14.4" thickBot="1"/>
    <row r="2" spans="2:49">
      <c r="N2" s="40" t="s">
        <v>48</v>
      </c>
      <c r="O2" s="41"/>
      <c r="P2" s="41"/>
      <c r="Q2" s="41"/>
      <c r="R2" s="41"/>
      <c r="S2" s="41"/>
      <c r="T2" s="41"/>
      <c r="U2" s="41"/>
      <c r="V2" s="42"/>
    </row>
    <row r="3" spans="2:49" ht="14.4" thickBot="1">
      <c r="N3" s="43"/>
      <c r="O3" s="44"/>
      <c r="P3" s="44"/>
      <c r="Q3" s="44"/>
      <c r="R3" s="44"/>
      <c r="S3" s="44"/>
      <c r="T3" s="44"/>
      <c r="U3" s="44"/>
      <c r="V3" s="45"/>
    </row>
    <row r="4" spans="2:49" ht="14.4" thickBot="1"/>
    <row r="5" spans="2:49" ht="23.4" thickBot="1">
      <c r="B5" s="2"/>
      <c r="C5" s="2"/>
      <c r="D5" s="2"/>
      <c r="E5" s="27" t="s">
        <v>3</v>
      </c>
      <c r="F5" s="28" t="s">
        <v>4</v>
      </c>
      <c r="G5" s="28" t="s">
        <v>5</v>
      </c>
      <c r="H5" s="28" t="s">
        <v>6</v>
      </c>
      <c r="I5" s="28" t="s">
        <v>7</v>
      </c>
      <c r="J5" s="28" t="s">
        <v>8</v>
      </c>
      <c r="K5" s="28" t="s">
        <v>9</v>
      </c>
      <c r="L5" s="28" t="s">
        <v>3</v>
      </c>
      <c r="M5" s="28" t="s">
        <v>4</v>
      </c>
      <c r="N5" s="28" t="s">
        <v>5</v>
      </c>
      <c r="O5" s="28" t="s">
        <v>6</v>
      </c>
      <c r="P5" s="28" t="s">
        <v>7</v>
      </c>
      <c r="Q5" s="28" t="s">
        <v>8</v>
      </c>
      <c r="R5" s="28" t="s">
        <v>9</v>
      </c>
      <c r="S5" s="28" t="s">
        <v>3</v>
      </c>
      <c r="T5" s="28" t="s">
        <v>4</v>
      </c>
      <c r="U5" s="28" t="s">
        <v>5</v>
      </c>
      <c r="V5" s="28" t="s">
        <v>6</v>
      </c>
      <c r="W5" s="28" t="s">
        <v>7</v>
      </c>
      <c r="X5" s="28" t="s">
        <v>8</v>
      </c>
      <c r="Y5" s="28" t="s">
        <v>9</v>
      </c>
      <c r="Z5" s="28" t="s">
        <v>3</v>
      </c>
      <c r="AA5" s="28" t="s">
        <v>4</v>
      </c>
      <c r="AB5" s="28" t="s">
        <v>5</v>
      </c>
      <c r="AC5" s="28" t="s">
        <v>6</v>
      </c>
      <c r="AD5" s="28" t="s">
        <v>7</v>
      </c>
      <c r="AE5" s="28" t="s">
        <v>8</v>
      </c>
      <c r="AF5" s="28" t="s">
        <v>9</v>
      </c>
      <c r="AG5" s="28" t="s">
        <v>3</v>
      </c>
      <c r="AH5" s="28" t="s">
        <v>4</v>
      </c>
      <c r="AI5" s="29" t="s">
        <v>5</v>
      </c>
      <c r="AJ5" s="2"/>
      <c r="AK5" s="2"/>
      <c r="AL5" s="2"/>
    </row>
    <row r="6" spans="2:49" ht="25.2" thickBot="1">
      <c r="B6" s="30" t="s">
        <v>0</v>
      </c>
      <c r="C6" s="31" t="s">
        <v>1</v>
      </c>
      <c r="D6" s="31" t="s">
        <v>2</v>
      </c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8">
        <v>17</v>
      </c>
      <c r="V6" s="8">
        <v>18</v>
      </c>
      <c r="W6" s="8">
        <v>19</v>
      </c>
      <c r="X6" s="8">
        <v>20</v>
      </c>
      <c r="Y6" s="8">
        <v>21</v>
      </c>
      <c r="Z6" s="8">
        <v>22</v>
      </c>
      <c r="AA6" s="8">
        <v>23</v>
      </c>
      <c r="AB6" s="8">
        <v>24</v>
      </c>
      <c r="AC6" s="8">
        <v>25</v>
      </c>
      <c r="AD6" s="8">
        <v>26</v>
      </c>
      <c r="AE6" s="8">
        <v>27</v>
      </c>
      <c r="AF6" s="8">
        <v>28</v>
      </c>
      <c r="AG6" s="23">
        <v>29</v>
      </c>
      <c r="AH6" s="26">
        <v>30</v>
      </c>
      <c r="AI6" s="23">
        <v>31</v>
      </c>
      <c r="AJ6" s="37" t="s">
        <v>10</v>
      </c>
      <c r="AK6" s="36" t="s">
        <v>11</v>
      </c>
      <c r="AL6" s="32" t="s">
        <v>12</v>
      </c>
      <c r="AM6" s="33" t="s">
        <v>26</v>
      </c>
      <c r="AN6" s="33" t="s">
        <v>27</v>
      </c>
      <c r="AO6" s="33" t="s">
        <v>30</v>
      </c>
      <c r="AP6" s="33" t="s">
        <v>31</v>
      </c>
      <c r="AQ6" s="33" t="s">
        <v>45</v>
      </c>
      <c r="AR6" s="33" t="s">
        <v>46</v>
      </c>
      <c r="AS6" s="33" t="s">
        <v>34</v>
      </c>
      <c r="AT6"/>
      <c r="AU6"/>
      <c r="AV6"/>
      <c r="AW6"/>
    </row>
    <row r="7" spans="2:49" ht="23.4" thickBot="1">
      <c r="B7" s="9">
        <v>1</v>
      </c>
      <c r="C7" s="6" t="s">
        <v>13</v>
      </c>
      <c r="D7" s="6" t="s">
        <v>19</v>
      </c>
      <c r="E7" s="5"/>
      <c r="F7" s="6" t="s">
        <v>24</v>
      </c>
      <c r="G7" s="6" t="s">
        <v>25</v>
      </c>
      <c r="H7" s="6" t="s">
        <v>24</v>
      </c>
      <c r="I7" s="6" t="s">
        <v>24</v>
      </c>
      <c r="J7" s="6" t="s">
        <v>24</v>
      </c>
      <c r="K7" s="6" t="s">
        <v>24</v>
      </c>
      <c r="L7" s="7"/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7"/>
      <c r="S7" s="6" t="s">
        <v>24</v>
      </c>
      <c r="T7" s="6" t="s">
        <v>24</v>
      </c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7"/>
      <c r="AA7" s="6" t="s">
        <v>24</v>
      </c>
      <c r="AB7" s="6" t="s">
        <v>24</v>
      </c>
      <c r="AC7" s="6" t="s">
        <v>24</v>
      </c>
      <c r="AD7" s="6" t="s">
        <v>24</v>
      </c>
      <c r="AE7" s="6" t="s">
        <v>24</v>
      </c>
      <c r="AF7" s="6" t="s">
        <v>24</v>
      </c>
      <c r="AG7" s="24"/>
      <c r="AH7" s="9" t="s">
        <v>24</v>
      </c>
      <c r="AI7" s="34" t="s">
        <v>24</v>
      </c>
      <c r="AJ7" s="3">
        <f>COUNTIF(E7:AI7,"P")</f>
        <v>25</v>
      </c>
      <c r="AK7" s="38">
        <f>COUNTIF(E7:AI7,"A")</f>
        <v>1</v>
      </c>
      <c r="AL7" s="38">
        <f>COUNTBLANK(E7:AI7)</f>
        <v>5</v>
      </c>
      <c r="AM7" s="38">
        <f>AJ7+AL7</f>
        <v>30</v>
      </c>
      <c r="AN7" s="38">
        <v>50000</v>
      </c>
      <c r="AO7" s="38">
        <f>ROUND(AN7/31,0)</f>
        <v>1613</v>
      </c>
      <c r="AP7" s="38">
        <f>AO7*AM7</f>
        <v>48390</v>
      </c>
      <c r="AQ7" s="38">
        <v>2</v>
      </c>
      <c r="AR7" s="38">
        <f>ROUND(AO7/8*AQ7,0)</f>
        <v>403</v>
      </c>
      <c r="AS7" s="39">
        <f>AP7+AR7</f>
        <v>48793</v>
      </c>
      <c r="AT7"/>
      <c r="AU7"/>
      <c r="AV7"/>
      <c r="AW7"/>
    </row>
    <row r="8" spans="2:49" ht="23.4" thickBot="1">
      <c r="B8" s="9">
        <v>2</v>
      </c>
      <c r="C8" s="6" t="s">
        <v>14</v>
      </c>
      <c r="D8" s="6" t="s">
        <v>20</v>
      </c>
      <c r="E8" s="5"/>
      <c r="F8" s="6" t="s">
        <v>25</v>
      </c>
      <c r="G8" s="6" t="s">
        <v>25</v>
      </c>
      <c r="H8" s="6" t="s">
        <v>25</v>
      </c>
      <c r="I8" s="6" t="s">
        <v>24</v>
      </c>
      <c r="J8" s="6" t="s">
        <v>24</v>
      </c>
      <c r="K8" s="6" t="s">
        <v>24</v>
      </c>
      <c r="L8" s="7"/>
      <c r="M8" s="6" t="s">
        <v>25</v>
      </c>
      <c r="N8" s="6" t="s">
        <v>25</v>
      </c>
      <c r="O8" s="6" t="s">
        <v>25</v>
      </c>
      <c r="P8" s="6" t="s">
        <v>25</v>
      </c>
      <c r="Q8" s="6" t="s">
        <v>25</v>
      </c>
      <c r="R8" s="7"/>
      <c r="S8" s="6" t="s">
        <v>25</v>
      </c>
      <c r="T8" s="6" t="s">
        <v>24</v>
      </c>
      <c r="U8" s="6" t="s">
        <v>24</v>
      </c>
      <c r="V8" s="6" t="s">
        <v>25</v>
      </c>
      <c r="W8" s="6" t="s">
        <v>24</v>
      </c>
      <c r="X8" s="6" t="s">
        <v>24</v>
      </c>
      <c r="Y8" s="6" t="s">
        <v>24</v>
      </c>
      <c r="Z8" s="7"/>
      <c r="AA8" s="6" t="s">
        <v>24</v>
      </c>
      <c r="AB8" s="6" t="s">
        <v>25</v>
      </c>
      <c r="AC8" s="6" t="s">
        <v>24</v>
      </c>
      <c r="AD8" s="6" t="s">
        <v>24</v>
      </c>
      <c r="AE8" s="6" t="s">
        <v>24</v>
      </c>
      <c r="AF8" s="6" t="s">
        <v>24</v>
      </c>
      <c r="AG8" s="24"/>
      <c r="AH8" s="9" t="s">
        <v>24</v>
      </c>
      <c r="AI8" s="34" t="s">
        <v>24</v>
      </c>
      <c r="AJ8" s="3">
        <f t="shared" ref="AJ8:AJ12" si="0">COUNTIF(E8:AI8,"P")</f>
        <v>15</v>
      </c>
      <c r="AK8" s="38">
        <f t="shared" ref="AK8:AK12" si="1">COUNTIF(E8:AI8,"A")</f>
        <v>11</v>
      </c>
      <c r="AL8" s="38">
        <f t="shared" ref="AL8:AL12" si="2">COUNTBLANK(E8:AI8)</f>
        <v>5</v>
      </c>
      <c r="AM8" s="38">
        <f t="shared" ref="AM8:AM12" si="3">AJ8+AL8</f>
        <v>20</v>
      </c>
      <c r="AN8" s="38">
        <v>30000</v>
      </c>
      <c r="AO8" s="38">
        <f t="shared" ref="AO8:AO12" si="4">ROUND(AN8/31,0)</f>
        <v>968</v>
      </c>
      <c r="AP8" s="38">
        <f t="shared" ref="AP8:AP12" si="5">AO8*AM8</f>
        <v>19360</v>
      </c>
      <c r="AQ8" s="38">
        <v>3</v>
      </c>
      <c r="AR8" s="38">
        <f t="shared" ref="AR8:AR12" si="6">ROUND(AO8/8*AQ8,0)</f>
        <v>363</v>
      </c>
      <c r="AS8" s="39">
        <f t="shared" ref="AS8:AS12" si="7">AP8+AR8</f>
        <v>19723</v>
      </c>
      <c r="AT8"/>
      <c r="AU8"/>
      <c r="AV8"/>
      <c r="AW8"/>
    </row>
    <row r="9" spans="2:49" ht="23.4" thickBot="1">
      <c r="B9" s="9">
        <v>3</v>
      </c>
      <c r="C9" s="6" t="s">
        <v>15</v>
      </c>
      <c r="D9" s="6" t="s">
        <v>21</v>
      </c>
      <c r="E9" s="5"/>
      <c r="F9" s="6" t="s">
        <v>24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7"/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7"/>
      <c r="S9" s="6" t="s">
        <v>24</v>
      </c>
      <c r="T9" s="6" t="s">
        <v>24</v>
      </c>
      <c r="U9" s="6" t="s">
        <v>24</v>
      </c>
      <c r="V9" s="6" t="s">
        <v>25</v>
      </c>
      <c r="W9" s="6" t="s">
        <v>24</v>
      </c>
      <c r="X9" s="6" t="s">
        <v>24</v>
      </c>
      <c r="Y9" s="6" t="s">
        <v>24</v>
      </c>
      <c r="Z9" s="7"/>
      <c r="AA9" s="6" t="s">
        <v>24</v>
      </c>
      <c r="AB9" s="6" t="s">
        <v>24</v>
      </c>
      <c r="AC9" s="6" t="s">
        <v>24</v>
      </c>
      <c r="AD9" s="6" t="s">
        <v>24</v>
      </c>
      <c r="AE9" s="6" t="s">
        <v>24</v>
      </c>
      <c r="AF9" s="6" t="s">
        <v>24</v>
      </c>
      <c r="AG9" s="24"/>
      <c r="AH9" s="9" t="s">
        <v>24</v>
      </c>
      <c r="AI9" s="34" t="s">
        <v>24</v>
      </c>
      <c r="AJ9" s="3">
        <f t="shared" si="0"/>
        <v>25</v>
      </c>
      <c r="AK9" s="38">
        <f t="shared" si="1"/>
        <v>1</v>
      </c>
      <c r="AL9" s="38">
        <f t="shared" si="2"/>
        <v>5</v>
      </c>
      <c r="AM9" s="38">
        <f t="shared" si="3"/>
        <v>30</v>
      </c>
      <c r="AN9" s="38">
        <v>20000</v>
      </c>
      <c r="AO9" s="38">
        <f t="shared" si="4"/>
        <v>645</v>
      </c>
      <c r="AP9" s="38">
        <f t="shared" si="5"/>
        <v>19350</v>
      </c>
      <c r="AQ9" s="38">
        <v>4</v>
      </c>
      <c r="AR9" s="38">
        <f t="shared" si="6"/>
        <v>323</v>
      </c>
      <c r="AS9" s="39">
        <f t="shared" si="7"/>
        <v>19673</v>
      </c>
      <c r="AT9"/>
      <c r="AU9"/>
      <c r="AV9"/>
      <c r="AW9"/>
    </row>
    <row r="10" spans="2:49" ht="23.4" thickBot="1">
      <c r="B10" s="9">
        <v>4</v>
      </c>
      <c r="C10" s="6" t="s">
        <v>16</v>
      </c>
      <c r="D10" s="6" t="s">
        <v>22</v>
      </c>
      <c r="E10" s="5"/>
      <c r="F10" s="6" t="s">
        <v>25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7"/>
      <c r="M10" s="6" t="s">
        <v>25</v>
      </c>
      <c r="N10" s="6" t="s">
        <v>25</v>
      </c>
      <c r="O10" s="6" t="s">
        <v>24</v>
      </c>
      <c r="P10" s="6" t="s">
        <v>25</v>
      </c>
      <c r="Q10" s="6" t="s">
        <v>25</v>
      </c>
      <c r="R10" s="7"/>
      <c r="S10" s="6" t="s">
        <v>25</v>
      </c>
      <c r="T10" s="6" t="s">
        <v>25</v>
      </c>
      <c r="U10" s="6" t="s">
        <v>25</v>
      </c>
      <c r="V10" s="6" t="s">
        <v>25</v>
      </c>
      <c r="W10" s="6" t="s">
        <v>25</v>
      </c>
      <c r="X10" s="6" t="s">
        <v>25</v>
      </c>
      <c r="Y10" s="6" t="s">
        <v>25</v>
      </c>
      <c r="Z10" s="7"/>
      <c r="AA10" s="6" t="s">
        <v>25</v>
      </c>
      <c r="AB10" s="6" t="s">
        <v>24</v>
      </c>
      <c r="AC10" s="6" t="s">
        <v>25</v>
      </c>
      <c r="AD10" s="6" t="s">
        <v>24</v>
      </c>
      <c r="AE10" s="6" t="s">
        <v>24</v>
      </c>
      <c r="AF10" s="6" t="s">
        <v>24</v>
      </c>
      <c r="AG10" s="24"/>
      <c r="AH10" s="9" t="s">
        <v>24</v>
      </c>
      <c r="AI10" s="34" t="s">
        <v>24</v>
      </c>
      <c r="AJ10" s="3">
        <f t="shared" si="0"/>
        <v>12</v>
      </c>
      <c r="AK10" s="38">
        <f t="shared" si="1"/>
        <v>14</v>
      </c>
      <c r="AL10" s="38">
        <f t="shared" si="2"/>
        <v>5</v>
      </c>
      <c r="AM10" s="38">
        <f t="shared" si="3"/>
        <v>17</v>
      </c>
      <c r="AN10" s="38">
        <v>25000</v>
      </c>
      <c r="AO10" s="38">
        <f t="shared" si="4"/>
        <v>806</v>
      </c>
      <c r="AP10" s="38">
        <f t="shared" si="5"/>
        <v>13702</v>
      </c>
      <c r="AQ10" s="38">
        <v>2</v>
      </c>
      <c r="AR10" s="38">
        <f t="shared" si="6"/>
        <v>202</v>
      </c>
      <c r="AS10" s="39">
        <f t="shared" si="7"/>
        <v>13904</v>
      </c>
      <c r="AT10"/>
      <c r="AU10"/>
      <c r="AV10"/>
      <c r="AW10"/>
    </row>
    <row r="11" spans="2:49" ht="23.4" thickBot="1">
      <c r="B11" s="9">
        <v>5</v>
      </c>
      <c r="C11" s="6" t="s">
        <v>17</v>
      </c>
      <c r="D11" s="6" t="s">
        <v>20</v>
      </c>
      <c r="E11" s="5"/>
      <c r="F11" s="6" t="s">
        <v>24</v>
      </c>
      <c r="G11" s="6" t="s">
        <v>25</v>
      </c>
      <c r="H11" s="6" t="s">
        <v>24</v>
      </c>
      <c r="I11" s="6" t="s">
        <v>24</v>
      </c>
      <c r="J11" s="6" t="s">
        <v>24</v>
      </c>
      <c r="K11" s="6" t="s">
        <v>24</v>
      </c>
      <c r="L11" s="7"/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7"/>
      <c r="S11" s="6" t="s">
        <v>24</v>
      </c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7"/>
      <c r="AA11" s="6" t="s">
        <v>24</v>
      </c>
      <c r="AB11" s="6" t="s">
        <v>24</v>
      </c>
      <c r="AC11" s="6" t="s">
        <v>24</v>
      </c>
      <c r="AD11" s="6" t="s">
        <v>24</v>
      </c>
      <c r="AE11" s="6" t="s">
        <v>24</v>
      </c>
      <c r="AF11" s="6" t="s">
        <v>24</v>
      </c>
      <c r="AG11" s="24"/>
      <c r="AH11" s="9" t="s">
        <v>24</v>
      </c>
      <c r="AI11" s="34" t="s">
        <v>24</v>
      </c>
      <c r="AJ11" s="3">
        <f t="shared" si="0"/>
        <v>25</v>
      </c>
      <c r="AK11" s="38">
        <f t="shared" si="1"/>
        <v>1</v>
      </c>
      <c r="AL11" s="38">
        <f t="shared" si="2"/>
        <v>5</v>
      </c>
      <c r="AM11" s="38">
        <f t="shared" si="3"/>
        <v>30</v>
      </c>
      <c r="AN11" s="38">
        <v>35000</v>
      </c>
      <c r="AO11" s="38">
        <f t="shared" si="4"/>
        <v>1129</v>
      </c>
      <c r="AP11" s="38">
        <f t="shared" si="5"/>
        <v>33870</v>
      </c>
      <c r="AQ11" s="38">
        <v>3</v>
      </c>
      <c r="AR11" s="38">
        <f t="shared" si="6"/>
        <v>423</v>
      </c>
      <c r="AS11" s="39">
        <f t="shared" si="7"/>
        <v>34293</v>
      </c>
      <c r="AT11"/>
      <c r="AU11"/>
      <c r="AV11"/>
      <c r="AW11"/>
    </row>
    <row r="12" spans="2:49" ht="23.4" thickBot="1">
      <c r="B12" s="10">
        <v>6</v>
      </c>
      <c r="C12" s="11" t="s">
        <v>18</v>
      </c>
      <c r="D12" s="11" t="s">
        <v>23</v>
      </c>
      <c r="E12" s="12"/>
      <c r="F12" s="11" t="s">
        <v>24</v>
      </c>
      <c r="G12" s="11" t="s">
        <v>24</v>
      </c>
      <c r="H12" s="11" t="s">
        <v>24</v>
      </c>
      <c r="I12" s="11" t="s">
        <v>24</v>
      </c>
      <c r="J12" s="11" t="s">
        <v>24</v>
      </c>
      <c r="K12" s="11" t="s">
        <v>24</v>
      </c>
      <c r="L12" s="13"/>
      <c r="M12" s="11" t="s">
        <v>24</v>
      </c>
      <c r="N12" s="11" t="s">
        <v>24</v>
      </c>
      <c r="O12" s="11" t="s">
        <v>24</v>
      </c>
      <c r="P12" s="11" t="s">
        <v>24</v>
      </c>
      <c r="Q12" s="11" t="s">
        <v>24</v>
      </c>
      <c r="R12" s="13"/>
      <c r="S12" s="11" t="s">
        <v>24</v>
      </c>
      <c r="T12" s="11" t="s">
        <v>24</v>
      </c>
      <c r="U12" s="11" t="s">
        <v>24</v>
      </c>
      <c r="V12" s="11" t="s">
        <v>24</v>
      </c>
      <c r="W12" s="11" t="s">
        <v>24</v>
      </c>
      <c r="X12" s="11" t="s">
        <v>24</v>
      </c>
      <c r="Y12" s="11" t="s">
        <v>24</v>
      </c>
      <c r="Z12" s="13"/>
      <c r="AA12" s="11" t="s">
        <v>24</v>
      </c>
      <c r="AB12" s="11" t="s">
        <v>24</v>
      </c>
      <c r="AC12" s="11" t="s">
        <v>24</v>
      </c>
      <c r="AD12" s="11" t="s">
        <v>24</v>
      </c>
      <c r="AE12" s="11" t="s">
        <v>24</v>
      </c>
      <c r="AF12" s="11" t="s">
        <v>24</v>
      </c>
      <c r="AG12" s="25"/>
      <c r="AH12" s="10" t="s">
        <v>24</v>
      </c>
      <c r="AI12" s="35" t="s">
        <v>24</v>
      </c>
      <c r="AJ12" s="4">
        <f t="shared" si="0"/>
        <v>26</v>
      </c>
      <c r="AK12" s="38">
        <f t="shared" si="1"/>
        <v>0</v>
      </c>
      <c r="AL12" s="38">
        <f t="shared" si="2"/>
        <v>5</v>
      </c>
      <c r="AM12" s="38">
        <f t="shared" si="3"/>
        <v>31</v>
      </c>
      <c r="AN12" s="38">
        <v>25000</v>
      </c>
      <c r="AO12" s="38">
        <f t="shared" si="4"/>
        <v>806</v>
      </c>
      <c r="AP12" s="38">
        <f t="shared" si="5"/>
        <v>24986</v>
      </c>
      <c r="AQ12" s="38">
        <v>4</v>
      </c>
      <c r="AR12" s="38">
        <f t="shared" si="6"/>
        <v>403</v>
      </c>
      <c r="AS12" s="39">
        <f t="shared" si="7"/>
        <v>25389</v>
      </c>
      <c r="AT12"/>
      <c r="AU12"/>
      <c r="AV12"/>
      <c r="AW12"/>
    </row>
  </sheetData>
  <mergeCells count="1">
    <mergeCell ref="N2:V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0EC2-ACCF-4B0E-ACF7-D87DB34EA497}">
  <dimension ref="C2:M14"/>
  <sheetViews>
    <sheetView tabSelected="1" zoomScale="85" workbookViewId="0">
      <selection activeCell="G11" sqref="G11"/>
    </sheetView>
  </sheetViews>
  <sheetFormatPr defaultRowHeight="14.4"/>
  <cols>
    <col min="4" max="4" width="30" bestFit="1" customWidth="1"/>
    <col min="5" max="5" width="67.33203125" bestFit="1" customWidth="1"/>
  </cols>
  <sheetData>
    <row r="2" spans="3:13" ht="28.2">
      <c r="C2" s="46" t="s">
        <v>44</v>
      </c>
      <c r="D2" s="46"/>
      <c r="E2" s="47"/>
    </row>
    <row r="3" spans="3:13" ht="15" thickBot="1"/>
    <row r="4" spans="3:13" ht="28.2">
      <c r="C4" s="14">
        <v>1</v>
      </c>
      <c r="D4" s="15" t="s">
        <v>28</v>
      </c>
      <c r="E4" s="20" t="s">
        <v>35</v>
      </c>
    </row>
    <row r="5" spans="3:13" ht="28.2">
      <c r="C5" s="16">
        <v>2</v>
      </c>
      <c r="D5" s="17" t="s">
        <v>29</v>
      </c>
      <c r="E5" s="21" t="s">
        <v>36</v>
      </c>
    </row>
    <row r="6" spans="3:13" ht="28.2">
      <c r="C6" s="16">
        <v>3</v>
      </c>
      <c r="D6" s="17" t="s">
        <v>12</v>
      </c>
      <c r="E6" s="21" t="s">
        <v>37</v>
      </c>
    </row>
    <row r="7" spans="3:13" ht="28.2">
      <c r="C7" s="16">
        <v>4</v>
      </c>
      <c r="D7" s="17" t="s">
        <v>26</v>
      </c>
      <c r="E7" s="21" t="s">
        <v>47</v>
      </c>
    </row>
    <row r="8" spans="3:13" ht="28.2">
      <c r="C8" s="16">
        <v>5</v>
      </c>
      <c r="D8" s="17" t="s">
        <v>27</v>
      </c>
      <c r="E8" s="21" t="s">
        <v>38</v>
      </c>
    </row>
    <row r="9" spans="3:13" ht="28.2">
      <c r="C9" s="16">
        <v>6</v>
      </c>
      <c r="D9" s="17" t="s">
        <v>30</v>
      </c>
      <c r="E9" s="21" t="s">
        <v>39</v>
      </c>
    </row>
    <row r="10" spans="3:13" ht="28.2">
      <c r="C10" s="16">
        <v>7</v>
      </c>
      <c r="D10" s="17" t="s">
        <v>31</v>
      </c>
      <c r="E10" s="21" t="s">
        <v>40</v>
      </c>
    </row>
    <row r="11" spans="3:13" ht="28.2">
      <c r="C11" s="16">
        <v>8</v>
      </c>
      <c r="D11" s="17" t="s">
        <v>32</v>
      </c>
      <c r="E11" s="21" t="s">
        <v>41</v>
      </c>
    </row>
    <row r="12" spans="3:13" ht="28.2">
      <c r="C12" s="16">
        <v>9</v>
      </c>
      <c r="D12" s="17" t="s">
        <v>33</v>
      </c>
      <c r="E12" s="21" t="s">
        <v>42</v>
      </c>
    </row>
    <row r="13" spans="3:13" ht="28.8" thickBot="1">
      <c r="C13" s="18">
        <v>10</v>
      </c>
      <c r="D13" s="19" t="s">
        <v>34</v>
      </c>
      <c r="E13" s="22" t="s">
        <v>43</v>
      </c>
    </row>
    <row r="14" spans="3:13">
      <c r="M14" t="s">
        <v>49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With Salary Sheet</vt:lpstr>
      <vt:lpstr>Formula For attendance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2023-05-23T10:21:00Z</dcterms:created>
  <dcterms:modified xsi:type="dcterms:W3CDTF">2026-02-06T11:56:36Z</dcterms:modified>
</cp:coreProperties>
</file>