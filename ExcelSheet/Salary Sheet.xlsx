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176" documentId="8_{77B05008-B6D4-4278-BA22-B052B561F0E8}" xr6:coauthVersionLast="47" xr6:coauthVersionMax="47" xr10:uidLastSave="{CC2C55D7-A01D-4C66-97FC-8E8CCC55659B}"/>
  <bookViews>
    <workbookView xWindow="-108" yWindow="-108" windowWidth="23256" windowHeight="12456" xr2:uid="{5C59A144-25CE-4420-A8F8-71E8F3E77170}"/>
  </bookViews>
  <sheets>
    <sheet name="Salary Sheet" sheetId="1" r:id="rId1"/>
    <sheet name="Sheet1" sheetId="3" r:id="rId2"/>
    <sheet name="Formula For Salary She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J5" i="1"/>
  <c r="I5" i="1"/>
  <c r="H5" i="1"/>
  <c r="G5" i="1"/>
  <c r="F5" i="1"/>
  <c r="K6" i="1"/>
  <c r="K7" i="1"/>
  <c r="K8" i="1"/>
  <c r="F6" i="1"/>
  <c r="F7" i="1"/>
  <c r="F8" i="1"/>
  <c r="F9" i="1"/>
  <c r="F10" i="1"/>
  <c r="F11" i="1"/>
  <c r="F12" i="1"/>
  <c r="F13" i="1"/>
  <c r="F14" i="1"/>
  <c r="K9" i="1"/>
  <c r="K10" i="1"/>
  <c r="K11" i="1"/>
  <c r="K12" i="1"/>
  <c r="K13" i="1"/>
  <c r="K14" i="1"/>
  <c r="I6" i="1"/>
  <c r="I7" i="1"/>
  <c r="I8" i="1"/>
  <c r="I9" i="1"/>
  <c r="I10" i="1"/>
  <c r="I11" i="1"/>
  <c r="I12" i="1"/>
  <c r="I13" i="1"/>
  <c r="I14" i="1"/>
  <c r="H6" i="1"/>
  <c r="H7" i="1"/>
  <c r="H8" i="1"/>
  <c r="H9" i="1"/>
  <c r="H10" i="1"/>
  <c r="H11" i="1"/>
  <c r="H12" i="1"/>
  <c r="H13" i="1"/>
  <c r="H14" i="1"/>
  <c r="G6" i="1"/>
  <c r="G7" i="1"/>
  <c r="G8" i="1"/>
  <c r="G9" i="1"/>
  <c r="G10" i="1"/>
  <c r="G11" i="1"/>
  <c r="G12" i="1"/>
  <c r="G13" i="1"/>
  <c r="G14" i="1"/>
  <c r="J6" i="1"/>
  <c r="J7" i="1"/>
  <c r="J8" i="1"/>
  <c r="J9" i="1"/>
  <c r="J10" i="1"/>
  <c r="J11" i="1"/>
  <c r="J12" i="1"/>
  <c r="J13" i="1"/>
  <c r="J14" i="1"/>
</calcChain>
</file>

<file path=xl/sharedStrings.xml><?xml version="1.0" encoding="utf-8"?>
<sst xmlns="http://schemas.openxmlformats.org/spreadsheetml/2006/main" count="52" uniqueCount="27">
  <si>
    <t>Serial No</t>
  </si>
  <si>
    <t>Emp Name</t>
  </si>
  <si>
    <t>Basic Salary</t>
  </si>
  <si>
    <t>TA</t>
  </si>
  <si>
    <t>DA</t>
  </si>
  <si>
    <t>HRA</t>
  </si>
  <si>
    <t>PF</t>
  </si>
  <si>
    <t>Net Salary</t>
  </si>
  <si>
    <t>Bonus</t>
  </si>
  <si>
    <t>Mahi</t>
  </si>
  <si>
    <t>Sona</t>
  </si>
  <si>
    <t>Piya</t>
  </si>
  <si>
    <t>Rahul</t>
  </si>
  <si>
    <t>Muskan</t>
  </si>
  <si>
    <t>Aakash</t>
  </si>
  <si>
    <t>Payal</t>
  </si>
  <si>
    <t>Lakki</t>
  </si>
  <si>
    <t>Mehak</t>
  </si>
  <si>
    <t>Salary Sheet</t>
  </si>
  <si>
    <t xml:space="preserve">Net Salary </t>
  </si>
  <si>
    <t>if(BS&gt;20000,BS*20%,if(BS&gt;15000,BS*15%,BS*10%))</t>
  </si>
  <si>
    <t>if(BS&gt;20000,BS*25%,if(BS&gt;15000,BS*20%,BS*15%))</t>
  </si>
  <si>
    <t>BS * 10%</t>
  </si>
  <si>
    <t>BS * 7%</t>
  </si>
  <si>
    <t>BS+TA+DA+HRA-PF</t>
  </si>
  <si>
    <t>if(BS&gt;30000,8000,if(BS&gt;=20000,7000,5000)</t>
  </si>
  <si>
    <t>Formula For Salary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</si>
</sst>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sz val="18"/>
      <color rgb="FFFFC000"/>
      <name val="Times New Roman"/>
      <family val="1"/>
    </font>
    <font>
      <b/>
      <sz val="22"/>
      <color rgb="FFFFC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0" fillId="4" borderId="6" xfId="0" applyFill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4701-9889-4460-94FE-9573F75660EA}">
  <sheetPr>
    <tabColor theme="1" tint="4.9989318521683403E-2"/>
  </sheetPr>
  <dimension ref="C1:K14"/>
  <sheetViews>
    <sheetView tabSelected="1" workbookViewId="0">
      <selection activeCell="J2" sqref="J2"/>
    </sheetView>
  </sheetViews>
  <sheetFormatPr defaultRowHeight="14.4" x14ac:dyDescent="0.3"/>
  <cols>
    <col min="3" max="4" width="18" customWidth="1"/>
    <col min="5" max="5" width="20.88671875" customWidth="1"/>
    <col min="6" max="12" width="18" customWidth="1"/>
  </cols>
  <sheetData>
    <row r="1" spans="3:11" ht="15" thickBot="1" x14ac:dyDescent="0.35"/>
    <row r="2" spans="3:11" ht="28.2" thickBot="1" x14ac:dyDescent="0.5">
      <c r="E2" s="8" t="s">
        <v>18</v>
      </c>
      <c r="F2" s="9"/>
      <c r="G2" s="9"/>
      <c r="H2" s="9"/>
      <c r="I2" s="10"/>
    </row>
    <row r="4" spans="3:11" ht="22.8" x14ac:dyDescent="0.3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</row>
    <row r="5" spans="3:11" ht="22.8" x14ac:dyDescent="0.3">
      <c r="C5" s="5">
        <v>1</v>
      </c>
      <c r="D5" s="5" t="s">
        <v>9</v>
      </c>
      <c r="E5" s="6">
        <v>40000</v>
      </c>
      <c r="F5" s="5">
        <f>IF(E5&gt;40000,E5*20%,IF(E5&gt;20000,E5*15%,E5*10%))</f>
        <v>6000</v>
      </c>
      <c r="G5" s="5">
        <f>IF(E5&gt;40000,E5*25%,IF(E5&gt;20000,E5*20%,IF(E5&gt;10000,E5*10%,E5*9%)))</f>
        <v>8000</v>
      </c>
      <c r="H5" s="5">
        <f>E5*10%</f>
        <v>4000</v>
      </c>
      <c r="I5" s="5">
        <f>E5*7%</f>
        <v>2800.0000000000005</v>
      </c>
      <c r="J5" s="6">
        <f>E5+F5+G5+H5-I5</f>
        <v>55200</v>
      </c>
      <c r="K5" s="5">
        <f>IF(E5&gt;40000,8000,IF(E5&gt;=20000,7000,5000))</f>
        <v>7000</v>
      </c>
    </row>
    <row r="6" spans="3:11" ht="22.8" x14ac:dyDescent="0.3">
      <c r="C6" s="5">
        <v>2</v>
      </c>
      <c r="D6" s="5" t="s">
        <v>10</v>
      </c>
      <c r="E6" s="6">
        <v>50000</v>
      </c>
      <c r="F6" s="5">
        <f t="shared" ref="F6:F14" si="0">IF(E6&gt;400000,E6*20%,IF(E6&gt;200000,E6*15%,E6*10%))</f>
        <v>5000</v>
      </c>
      <c r="G6" s="5">
        <f t="shared" ref="G6:G14" si="1">IF(E6&gt;40000,E6*25%,IF(E6&gt;20000,E6*20%,IF(E6&gt;10000,E6*10%,E6*9%)))</f>
        <v>12500</v>
      </c>
      <c r="H6" s="5">
        <f t="shared" ref="H6:H14" si="2">E6*10%</f>
        <v>5000</v>
      </c>
      <c r="I6" s="5">
        <f t="shared" ref="I6:I14" si="3">E6*7%</f>
        <v>3500.0000000000005</v>
      </c>
      <c r="J6" s="6">
        <f t="shared" ref="J6:J14" si="4">E6+F6+G6+H6-I6</f>
        <v>69000</v>
      </c>
      <c r="K6" s="5">
        <f t="shared" ref="K6:K8" si="5">IF(E6&gt;40000,8000,IF(E6&gt;=20000,7000,5000))</f>
        <v>8000</v>
      </c>
    </row>
    <row r="7" spans="3:11" ht="22.8" x14ac:dyDescent="0.3">
      <c r="C7" s="5">
        <v>3</v>
      </c>
      <c r="D7" s="5" t="s">
        <v>11</v>
      </c>
      <c r="E7" s="6">
        <v>30000</v>
      </c>
      <c r="F7" s="5">
        <f t="shared" si="0"/>
        <v>3000</v>
      </c>
      <c r="G7" s="5">
        <f t="shared" si="1"/>
        <v>6000</v>
      </c>
      <c r="H7" s="5">
        <f t="shared" si="2"/>
        <v>3000</v>
      </c>
      <c r="I7" s="5">
        <f t="shared" si="3"/>
        <v>2100</v>
      </c>
      <c r="J7" s="6">
        <f t="shared" si="4"/>
        <v>39900</v>
      </c>
      <c r="K7" s="5">
        <f t="shared" si="5"/>
        <v>7000</v>
      </c>
    </row>
    <row r="8" spans="3:11" ht="22.8" x14ac:dyDescent="0.3">
      <c r="C8" s="5">
        <v>4</v>
      </c>
      <c r="D8" s="5" t="s">
        <v>12</v>
      </c>
      <c r="E8" s="6">
        <v>20000</v>
      </c>
      <c r="F8" s="5">
        <f t="shared" si="0"/>
        <v>2000</v>
      </c>
      <c r="G8" s="5">
        <f t="shared" si="1"/>
        <v>2000</v>
      </c>
      <c r="H8" s="5">
        <f t="shared" si="2"/>
        <v>2000</v>
      </c>
      <c r="I8" s="5">
        <f t="shared" si="3"/>
        <v>1400.0000000000002</v>
      </c>
      <c r="J8" s="6">
        <f t="shared" si="4"/>
        <v>24600</v>
      </c>
      <c r="K8" s="5">
        <f t="shared" si="5"/>
        <v>7000</v>
      </c>
    </row>
    <row r="9" spans="3:11" ht="22.8" x14ac:dyDescent="0.3">
      <c r="C9" s="5">
        <v>5</v>
      </c>
      <c r="D9" s="5" t="s">
        <v>13</v>
      </c>
      <c r="E9" s="6">
        <v>40000</v>
      </c>
      <c r="F9" s="5">
        <f t="shared" si="0"/>
        <v>4000</v>
      </c>
      <c r="G9" s="5">
        <f t="shared" si="1"/>
        <v>8000</v>
      </c>
      <c r="H9" s="5">
        <f t="shared" si="2"/>
        <v>4000</v>
      </c>
      <c r="I9" s="5">
        <f t="shared" si="3"/>
        <v>2800.0000000000005</v>
      </c>
      <c r="J9" s="6">
        <f t="shared" si="4"/>
        <v>53200</v>
      </c>
      <c r="K9" s="5">
        <f t="shared" ref="K9:K14" si="6">IF(E9&gt;40000,8000,IF(E9&gt;=20000,7000,5000))</f>
        <v>7000</v>
      </c>
    </row>
    <row r="10" spans="3:11" ht="22.8" x14ac:dyDescent="0.3">
      <c r="C10" s="5">
        <v>6</v>
      </c>
      <c r="D10" s="5" t="s">
        <v>9</v>
      </c>
      <c r="E10" s="6">
        <v>40000</v>
      </c>
      <c r="F10" s="5">
        <f t="shared" si="0"/>
        <v>4000</v>
      </c>
      <c r="G10" s="5">
        <f t="shared" si="1"/>
        <v>8000</v>
      </c>
      <c r="H10" s="5">
        <f t="shared" si="2"/>
        <v>4000</v>
      </c>
      <c r="I10" s="5">
        <f t="shared" si="3"/>
        <v>2800.0000000000005</v>
      </c>
      <c r="J10" s="6">
        <f t="shared" si="4"/>
        <v>53200</v>
      </c>
      <c r="K10" s="5">
        <f t="shared" si="6"/>
        <v>7000</v>
      </c>
    </row>
    <row r="11" spans="3:11" ht="22.8" x14ac:dyDescent="0.3">
      <c r="C11" s="5">
        <v>7</v>
      </c>
      <c r="D11" s="5" t="s">
        <v>14</v>
      </c>
      <c r="E11" s="6">
        <v>50000</v>
      </c>
      <c r="F11" s="5">
        <f t="shared" si="0"/>
        <v>5000</v>
      </c>
      <c r="G11" s="5">
        <f t="shared" si="1"/>
        <v>12500</v>
      </c>
      <c r="H11" s="5">
        <f t="shared" si="2"/>
        <v>5000</v>
      </c>
      <c r="I11" s="5">
        <f t="shared" si="3"/>
        <v>3500.0000000000005</v>
      </c>
      <c r="J11" s="6">
        <f t="shared" si="4"/>
        <v>69000</v>
      </c>
      <c r="K11" s="5">
        <f t="shared" si="6"/>
        <v>8000</v>
      </c>
    </row>
    <row r="12" spans="3:11" ht="22.8" x14ac:dyDescent="0.3">
      <c r="C12" s="5">
        <v>8</v>
      </c>
      <c r="D12" s="5" t="s">
        <v>15</v>
      </c>
      <c r="E12" s="6">
        <v>30000</v>
      </c>
      <c r="F12" s="5">
        <f t="shared" si="0"/>
        <v>3000</v>
      </c>
      <c r="G12" s="5">
        <f t="shared" si="1"/>
        <v>6000</v>
      </c>
      <c r="H12" s="5">
        <f t="shared" si="2"/>
        <v>3000</v>
      </c>
      <c r="I12" s="5">
        <f t="shared" si="3"/>
        <v>2100</v>
      </c>
      <c r="J12" s="6">
        <f t="shared" si="4"/>
        <v>39900</v>
      </c>
      <c r="K12" s="5">
        <f t="shared" si="6"/>
        <v>7000</v>
      </c>
    </row>
    <row r="13" spans="3:11" ht="22.8" x14ac:dyDescent="0.3">
      <c r="C13" s="5">
        <v>9</v>
      </c>
      <c r="D13" s="5" t="s">
        <v>16</v>
      </c>
      <c r="E13" s="6">
        <v>15000</v>
      </c>
      <c r="F13" s="5">
        <f t="shared" si="0"/>
        <v>1500</v>
      </c>
      <c r="G13" s="5">
        <f t="shared" si="1"/>
        <v>1500</v>
      </c>
      <c r="H13" s="5">
        <f t="shared" si="2"/>
        <v>1500</v>
      </c>
      <c r="I13" s="5">
        <f t="shared" si="3"/>
        <v>1050</v>
      </c>
      <c r="J13" s="6">
        <f t="shared" si="4"/>
        <v>18450</v>
      </c>
      <c r="K13" s="5">
        <f t="shared" si="6"/>
        <v>5000</v>
      </c>
    </row>
    <row r="14" spans="3:11" ht="22.8" x14ac:dyDescent="0.3">
      <c r="C14" s="5">
        <v>10</v>
      </c>
      <c r="D14" s="5" t="s">
        <v>17</v>
      </c>
      <c r="E14" s="6">
        <v>40000</v>
      </c>
      <c r="F14" s="5">
        <f t="shared" si="0"/>
        <v>4000</v>
      </c>
      <c r="G14" s="5">
        <f t="shared" si="1"/>
        <v>8000</v>
      </c>
      <c r="H14" s="5">
        <f t="shared" si="2"/>
        <v>4000</v>
      </c>
      <c r="I14" s="5">
        <f t="shared" si="3"/>
        <v>2800.0000000000005</v>
      </c>
      <c r="J14" s="6">
        <f t="shared" si="4"/>
        <v>53200</v>
      </c>
      <c r="K14" s="5">
        <f t="shared" si="6"/>
        <v>7000</v>
      </c>
    </row>
  </sheetData>
  <mergeCells count="1">
    <mergeCell ref="E2:I2"/>
  </mergeCells>
  <conditionalFormatting sqref="C4:K1048576">
    <cfRule type="expression" dxfId="0" priority="1">
      <formula>$C4&lt;&gt;""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7B9B-25D5-4889-AECD-32CD0F378CE8}">
  <dimension ref="D7:L17"/>
  <sheetViews>
    <sheetView workbookViewId="0">
      <selection activeCell="E18" sqref="E18"/>
    </sheetView>
  </sheetViews>
  <sheetFormatPr defaultRowHeight="14.4" x14ac:dyDescent="0.3"/>
  <sheetData>
    <row r="7" spans="4:12" x14ac:dyDescent="0.3">
      <c r="D7" s="7" t="s">
        <v>0</v>
      </c>
      <c r="E7" s="7" t="s">
        <v>1</v>
      </c>
      <c r="F7" s="7" t="s">
        <v>2</v>
      </c>
      <c r="G7" s="7" t="s">
        <v>3</v>
      </c>
      <c r="H7" s="7" t="s">
        <v>4</v>
      </c>
      <c r="I7" s="7" t="s">
        <v>5</v>
      </c>
      <c r="J7" s="7" t="s">
        <v>6</v>
      </c>
      <c r="K7" s="7" t="s">
        <v>7</v>
      </c>
      <c r="L7" s="7" t="s">
        <v>8</v>
      </c>
    </row>
    <row r="8" spans="4:12" x14ac:dyDescent="0.3">
      <c r="D8" s="7">
        <v>1</v>
      </c>
      <c r="E8" s="7" t="s">
        <v>9</v>
      </c>
      <c r="F8" s="7">
        <v>40000</v>
      </c>
      <c r="G8" s="7">
        <v>4000</v>
      </c>
      <c r="H8" s="7">
        <v>8000</v>
      </c>
      <c r="I8" s="7">
        <v>4000</v>
      </c>
      <c r="J8" s="7">
        <v>2800.0000000000005</v>
      </c>
      <c r="K8" s="7">
        <v>53200</v>
      </c>
      <c r="L8" s="7">
        <v>7000</v>
      </c>
    </row>
    <row r="9" spans="4:12" x14ac:dyDescent="0.3">
      <c r="D9" s="7">
        <v>2</v>
      </c>
      <c r="E9" s="7" t="s">
        <v>10</v>
      </c>
      <c r="F9" s="7">
        <v>50000</v>
      </c>
      <c r="G9" s="7">
        <v>5000</v>
      </c>
      <c r="H9" s="7">
        <v>12500</v>
      </c>
      <c r="I9" s="7">
        <v>5000</v>
      </c>
      <c r="J9" s="7">
        <v>3500.0000000000005</v>
      </c>
      <c r="K9" s="7">
        <v>69000</v>
      </c>
      <c r="L9" s="7">
        <v>8000</v>
      </c>
    </row>
    <row r="10" spans="4:12" x14ac:dyDescent="0.3">
      <c r="D10" s="7">
        <v>3</v>
      </c>
      <c r="E10" s="7" t="s">
        <v>11</v>
      </c>
      <c r="F10" s="7">
        <v>30000</v>
      </c>
      <c r="G10" s="7">
        <v>3000</v>
      </c>
      <c r="H10" s="7">
        <v>6000</v>
      </c>
      <c r="I10" s="7">
        <v>3000</v>
      </c>
      <c r="J10" s="7">
        <v>2100</v>
      </c>
      <c r="K10" s="7">
        <v>39900</v>
      </c>
      <c r="L10" s="7">
        <v>7000</v>
      </c>
    </row>
    <row r="11" spans="4:12" x14ac:dyDescent="0.3">
      <c r="D11" s="7">
        <v>4</v>
      </c>
      <c r="E11" s="7" t="s">
        <v>12</v>
      </c>
      <c r="F11" s="7">
        <v>20000</v>
      </c>
      <c r="G11" s="7">
        <v>2000</v>
      </c>
      <c r="H11" s="7">
        <v>2000</v>
      </c>
      <c r="I11" s="7">
        <v>2000</v>
      </c>
      <c r="J11" s="7">
        <v>1400.0000000000002</v>
      </c>
      <c r="K11" s="7">
        <v>24600</v>
      </c>
      <c r="L11" s="7">
        <v>7000</v>
      </c>
    </row>
    <row r="12" spans="4:12" x14ac:dyDescent="0.3">
      <c r="D12" s="7">
        <v>5</v>
      </c>
      <c r="E12" s="7" t="s">
        <v>13</v>
      </c>
      <c r="F12" s="7">
        <v>40000</v>
      </c>
      <c r="G12" s="7">
        <v>4000</v>
      </c>
      <c r="H12" s="7">
        <v>8000</v>
      </c>
      <c r="I12" s="7">
        <v>4000</v>
      </c>
      <c r="J12" s="7">
        <v>2800.0000000000005</v>
      </c>
      <c r="K12" s="7">
        <v>53200</v>
      </c>
      <c r="L12" s="7">
        <v>7000</v>
      </c>
    </row>
    <row r="13" spans="4:12" x14ac:dyDescent="0.3">
      <c r="D13" s="7">
        <v>6</v>
      </c>
      <c r="E13" s="7" t="s">
        <v>9</v>
      </c>
      <c r="F13" s="7">
        <v>40000</v>
      </c>
      <c r="G13" s="7">
        <v>4000</v>
      </c>
      <c r="H13" s="7">
        <v>8000</v>
      </c>
      <c r="I13" s="7">
        <v>4000</v>
      </c>
      <c r="J13" s="7">
        <v>2800.0000000000005</v>
      </c>
      <c r="K13" s="7">
        <v>53200</v>
      </c>
      <c r="L13" s="7">
        <v>7000</v>
      </c>
    </row>
    <row r="14" spans="4:12" x14ac:dyDescent="0.3">
      <c r="D14" s="7">
        <v>7</v>
      </c>
      <c r="E14" s="7" t="s">
        <v>14</v>
      </c>
      <c r="F14" s="7">
        <v>50000</v>
      </c>
      <c r="G14" s="7">
        <v>5000</v>
      </c>
      <c r="H14" s="7">
        <v>12500</v>
      </c>
      <c r="I14" s="7">
        <v>5000</v>
      </c>
      <c r="J14" s="7">
        <v>3500.0000000000005</v>
      </c>
      <c r="K14" s="7">
        <v>69000</v>
      </c>
      <c r="L14" s="7">
        <v>8000</v>
      </c>
    </row>
    <row r="15" spans="4:12" x14ac:dyDescent="0.3">
      <c r="D15" s="7">
        <v>8</v>
      </c>
      <c r="E15" s="7" t="s">
        <v>15</v>
      </c>
      <c r="F15" s="7">
        <v>30000</v>
      </c>
      <c r="G15" s="7">
        <v>3000</v>
      </c>
      <c r="H15" s="7">
        <v>6000</v>
      </c>
      <c r="I15" s="7">
        <v>3000</v>
      </c>
      <c r="J15" s="7">
        <v>2100</v>
      </c>
      <c r="K15" s="7">
        <v>39900</v>
      </c>
      <c r="L15" s="7">
        <v>7000</v>
      </c>
    </row>
    <row r="16" spans="4:12" x14ac:dyDescent="0.3">
      <c r="D16" s="7">
        <v>9</v>
      </c>
      <c r="E16" s="7" t="s">
        <v>16</v>
      </c>
      <c r="F16" s="7">
        <v>20000</v>
      </c>
      <c r="G16" s="7">
        <v>2000</v>
      </c>
      <c r="H16" s="7">
        <v>2000</v>
      </c>
      <c r="I16" s="7">
        <v>2000</v>
      </c>
      <c r="J16" s="7">
        <v>1400.0000000000002</v>
      </c>
      <c r="K16" s="7">
        <v>24600</v>
      </c>
      <c r="L16" s="7">
        <v>7000</v>
      </c>
    </row>
    <row r="17" spans="4:12" x14ac:dyDescent="0.3">
      <c r="D17" s="7">
        <v>10</v>
      </c>
      <c r="E17" s="7" t="s">
        <v>17</v>
      </c>
      <c r="F17" s="7">
        <v>40000</v>
      </c>
      <c r="G17" s="7">
        <v>4000</v>
      </c>
      <c r="H17" s="7">
        <v>8000</v>
      </c>
      <c r="I17" s="7">
        <v>4000</v>
      </c>
      <c r="J17" s="7">
        <v>2800.0000000000005</v>
      </c>
      <c r="K17" s="7">
        <v>53200</v>
      </c>
      <c r="L17" s="7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1495-4410-413D-ABB8-B382157968B3}">
  <sheetPr>
    <tabColor rgb="FFFFC000"/>
  </sheetPr>
  <dimension ref="D3:F10"/>
  <sheetViews>
    <sheetView workbookViewId="0">
      <selection activeCell="D8" sqref="D8:E8"/>
    </sheetView>
  </sheetViews>
  <sheetFormatPr defaultRowHeight="14.4" x14ac:dyDescent="0.3"/>
  <cols>
    <col min="4" max="4" width="16.6640625" bestFit="1" customWidth="1"/>
    <col min="5" max="5" width="80.88671875" bestFit="1" customWidth="1"/>
  </cols>
  <sheetData>
    <row r="3" spans="4:6" ht="25.8" thickBot="1" x14ac:dyDescent="0.5">
      <c r="D3" s="11" t="s">
        <v>26</v>
      </c>
      <c r="E3" s="11"/>
    </row>
    <row r="5" spans="4:6" ht="23.4" thickBot="1" x14ac:dyDescent="0.35">
      <c r="D5" s="3" t="s">
        <v>3</v>
      </c>
      <c r="E5" s="3" t="s">
        <v>20</v>
      </c>
    </row>
    <row r="6" spans="4:6" ht="23.4" thickBot="1" x14ac:dyDescent="0.35">
      <c r="D6" s="2" t="s">
        <v>4</v>
      </c>
      <c r="E6" s="2" t="s">
        <v>21</v>
      </c>
    </row>
    <row r="7" spans="4:6" ht="23.4" thickBot="1" x14ac:dyDescent="0.35">
      <c r="D7" s="2" t="s">
        <v>5</v>
      </c>
      <c r="E7" s="2" t="s">
        <v>22</v>
      </c>
      <c r="F7" s="1"/>
    </row>
    <row r="8" spans="4:6" ht="23.4" thickBot="1" x14ac:dyDescent="0.35">
      <c r="D8" s="2" t="s">
        <v>6</v>
      </c>
      <c r="E8" s="2" t="s">
        <v>23</v>
      </c>
    </row>
    <row r="9" spans="4:6" ht="23.4" thickBot="1" x14ac:dyDescent="0.35">
      <c r="D9" s="2" t="s">
        <v>19</v>
      </c>
      <c r="E9" s="2" t="s">
        <v>24</v>
      </c>
    </row>
    <row r="10" spans="4:6" ht="23.4" thickBot="1" x14ac:dyDescent="0.35">
      <c r="D10" s="2" t="s">
        <v>8</v>
      </c>
      <c r="E10" s="2" t="s">
        <v>25</v>
      </c>
    </row>
  </sheetData>
  <mergeCells count="1"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 Sheet</vt:lpstr>
      <vt:lpstr>Sheet1</vt:lpstr>
      <vt:lpstr>Formula For Salary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dcterms:created xsi:type="dcterms:W3CDTF">2023-06-16T06:16:05Z</dcterms:created>
  <dcterms:modified xsi:type="dcterms:W3CDTF">2026-02-05T12:01:17Z</dcterms:modified>
</cp:coreProperties>
</file>