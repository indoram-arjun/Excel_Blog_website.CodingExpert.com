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4feae3cb1431f1/Desktop/Excel/"/>
    </mc:Choice>
  </mc:AlternateContent>
  <xr:revisionPtr revIDLastSave="265" documentId="8_{DA16B8E3-9E49-4461-8C3C-A65BB633437A}" xr6:coauthVersionLast="47" xr6:coauthVersionMax="47" xr10:uidLastSave="{70851BD4-B80C-4F36-A063-99E25A1FAAF9}"/>
  <bookViews>
    <workbookView xWindow="-108" yWindow="-108" windowWidth="23256" windowHeight="12456" activeTab="3" xr2:uid="{04626397-5946-4CC3-88FB-0FC29E6517C0}"/>
  </bookViews>
  <sheets>
    <sheet name="Count Function" sheetId="1" r:id="rId1"/>
    <sheet name="Sheet2" sheetId="3" r:id="rId2"/>
    <sheet name="Sheet1" sheetId="2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J18" i="1" l="1"/>
  <c r="J16" i="1"/>
  <c r="K9" i="1"/>
  <c r="K8" i="1"/>
  <c r="K7" i="1"/>
  <c r="K6" i="1"/>
  <c r="R4" i="2"/>
  <c r="P13" i="2"/>
  <c r="P10" i="2"/>
  <c r="S13" i="2"/>
  <c r="H6" i="1"/>
  <c r="H7" i="1"/>
  <c r="H8" i="1"/>
  <c r="H9" i="1"/>
  <c r="H10" i="1"/>
  <c r="H5" i="1"/>
  <c r="K5" i="1" s="1"/>
</calcChain>
</file>

<file path=xl/sharedStrings.xml><?xml version="1.0" encoding="utf-8"?>
<sst xmlns="http://schemas.openxmlformats.org/spreadsheetml/2006/main" count="73" uniqueCount="50">
  <si>
    <t xml:space="preserve">Count Function </t>
  </si>
  <si>
    <t>Serial No</t>
  </si>
  <si>
    <t>Item Name</t>
  </si>
  <si>
    <t>Company Name</t>
  </si>
  <si>
    <t>Rate</t>
  </si>
  <si>
    <t>Qty</t>
  </si>
  <si>
    <t>Price</t>
  </si>
  <si>
    <t>Laptop</t>
  </si>
  <si>
    <t>Mobile</t>
  </si>
  <si>
    <t>Mouse</t>
  </si>
  <si>
    <t>Tab</t>
  </si>
  <si>
    <t>Samsung</t>
  </si>
  <si>
    <t>HP</t>
  </si>
  <si>
    <t>q</t>
  </si>
  <si>
    <t>aamna</t>
  </si>
  <si>
    <t>mahi</t>
  </si>
  <si>
    <t>priya</t>
  </si>
  <si>
    <t>laptop</t>
  </si>
  <si>
    <t>count() is number</t>
  </si>
  <si>
    <t xml:space="preserve">counta() for all but not to blank </t>
  </si>
  <si>
    <t>countblank() count only blank</t>
  </si>
  <si>
    <t>rahul</t>
  </si>
  <si>
    <t>Aman</t>
  </si>
  <si>
    <t>Ram</t>
  </si>
  <si>
    <t>Ali</t>
  </si>
  <si>
    <t>Muskan</t>
  </si>
  <si>
    <t>Name</t>
  </si>
  <si>
    <t>Dept</t>
  </si>
  <si>
    <t>Salary</t>
  </si>
  <si>
    <t>Perday salary</t>
  </si>
  <si>
    <t>Age</t>
  </si>
  <si>
    <t>City</t>
  </si>
  <si>
    <t>Present</t>
  </si>
  <si>
    <t>Total salary</t>
  </si>
  <si>
    <t>Arjun</t>
  </si>
  <si>
    <t>IT</t>
  </si>
  <si>
    <t>Delhi</t>
  </si>
  <si>
    <t>Harsh</t>
  </si>
  <si>
    <t>HR</t>
  </si>
  <si>
    <t>Mumbai</t>
  </si>
  <si>
    <t>Rohan</t>
  </si>
  <si>
    <t>Pune</t>
  </si>
  <si>
    <t>Neha</t>
  </si>
  <si>
    <t>Sales</t>
  </si>
  <si>
    <t>Jaipur</t>
  </si>
  <si>
    <t>Priya</t>
  </si>
  <si>
    <t>Karan</t>
  </si>
  <si>
    <t>Simran</t>
  </si>
  <si>
    <t>Rahul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</si>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</sst>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sz val="22"/>
      <color theme="1"/>
      <name val="Times New Roman"/>
      <family val="1"/>
    </font>
    <font>
      <sz val="20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4" fillId="5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1" fontId="0" fillId="6" borderId="10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2A7C-50DF-4ADA-9D67-0AB091EF5BFE}">
  <sheetPr>
    <tabColor rgb="FFC00000"/>
  </sheetPr>
  <dimension ref="B2:N18"/>
  <sheetViews>
    <sheetView topLeftCell="A2" zoomScale="86" workbookViewId="0">
      <selection activeCell="I13" sqref="I13"/>
    </sheetView>
  </sheetViews>
  <sheetFormatPr defaultRowHeight="14.4" x14ac:dyDescent="0.3"/>
  <cols>
    <col min="2" max="2" width="16.44140625" bestFit="1" customWidth="1"/>
    <col min="3" max="3" width="18.6640625" bestFit="1" customWidth="1"/>
    <col min="4" max="4" width="27.109375" bestFit="1" customWidth="1"/>
    <col min="5" max="5" width="27.109375" customWidth="1"/>
    <col min="6" max="6" width="12.5546875" bestFit="1" customWidth="1"/>
    <col min="7" max="7" width="13.109375" customWidth="1"/>
    <col min="8" max="9" width="13.6640625" bestFit="1" customWidth="1"/>
    <col min="10" max="10" width="16.44140625" bestFit="1" customWidth="1"/>
    <col min="11" max="12" width="27.109375" bestFit="1" customWidth="1"/>
    <col min="13" max="13" width="8.6640625" bestFit="1" customWidth="1"/>
    <col min="14" max="14" width="7.33203125" bestFit="1" customWidth="1"/>
    <col min="15" max="15" width="9.44140625" bestFit="1" customWidth="1"/>
  </cols>
  <sheetData>
    <row r="2" spans="2:14" ht="28.5" customHeight="1" thickBot="1" x14ac:dyDescent="0.35">
      <c r="C2" s="21" t="s">
        <v>0</v>
      </c>
      <c r="D2" s="21"/>
      <c r="E2" s="21"/>
      <c r="F2" s="21"/>
      <c r="G2" s="21"/>
    </row>
    <row r="3" spans="2:14" ht="25.2" x14ac:dyDescent="0.3">
      <c r="B3" s="3"/>
      <c r="C3" s="3"/>
      <c r="D3" s="3"/>
      <c r="E3" s="3"/>
      <c r="F3" s="3"/>
      <c r="G3" s="3"/>
      <c r="H3" s="3"/>
    </row>
    <row r="4" spans="2:14" ht="25.8" thickBot="1" x14ac:dyDescent="0.35">
      <c r="B4" s="7" t="s">
        <v>1</v>
      </c>
      <c r="C4" s="7" t="s">
        <v>2</v>
      </c>
      <c r="D4" s="7" t="s">
        <v>3</v>
      </c>
      <c r="E4" s="7"/>
      <c r="F4" s="8" t="s">
        <v>4</v>
      </c>
      <c r="G4" s="7" t="s">
        <v>5</v>
      </c>
      <c r="H4" s="7" t="s">
        <v>6</v>
      </c>
    </row>
    <row r="5" spans="2:14" ht="25.2" x14ac:dyDescent="0.45">
      <c r="B5" s="3">
        <v>1</v>
      </c>
      <c r="C5" s="3" t="s">
        <v>7</v>
      </c>
      <c r="D5" s="3" t="s">
        <v>11</v>
      </c>
      <c r="E5" s="3"/>
      <c r="F5" s="4">
        <v>50000</v>
      </c>
      <c r="G5" s="3">
        <v>2</v>
      </c>
      <c r="H5" s="3">
        <f>G5*F5</f>
        <v>100000</v>
      </c>
      <c r="K5" s="19">
        <f>COUNT(B4:H10)</f>
        <v>24</v>
      </c>
      <c r="L5" s="20" t="s">
        <v>18</v>
      </c>
    </row>
    <row r="6" spans="2:14" ht="25.2" x14ac:dyDescent="0.45">
      <c r="B6" s="3">
        <v>2</v>
      </c>
      <c r="C6" s="3" t="s">
        <v>8</v>
      </c>
      <c r="D6" s="3" t="s">
        <v>11</v>
      </c>
      <c r="E6" s="3"/>
      <c r="F6" s="4">
        <v>40000</v>
      </c>
      <c r="G6" s="3">
        <v>3</v>
      </c>
      <c r="H6" s="3">
        <f t="shared" ref="H6:H10" si="0">G6*F6</f>
        <v>120000</v>
      </c>
      <c r="K6" s="19">
        <f>COUNTA(B4:H10)</f>
        <v>42</v>
      </c>
      <c r="L6" s="20" t="s">
        <v>19</v>
      </c>
      <c r="M6" s="17"/>
      <c r="N6" s="17"/>
    </row>
    <row r="7" spans="2:14" ht="25.2" x14ac:dyDescent="0.45">
      <c r="B7" s="3">
        <v>3</v>
      </c>
      <c r="C7" s="3" t="s">
        <v>17</v>
      </c>
      <c r="D7" s="3" t="s">
        <v>12</v>
      </c>
      <c r="E7" s="3"/>
      <c r="F7" s="4">
        <v>50000</v>
      </c>
      <c r="G7" s="5">
        <v>3</v>
      </c>
      <c r="H7" s="3">
        <f t="shared" si="0"/>
        <v>150000</v>
      </c>
      <c r="K7" s="20">
        <f>COUNTBLANK(B4:H10)</f>
        <v>7</v>
      </c>
      <c r="L7" s="20" t="s">
        <v>20</v>
      </c>
    </row>
    <row r="8" spans="2:14" ht="25.2" x14ac:dyDescent="0.4">
      <c r="B8" s="3">
        <v>4</v>
      </c>
      <c r="C8" s="3" t="s">
        <v>9</v>
      </c>
      <c r="D8" s="3" t="s">
        <v>12</v>
      </c>
      <c r="E8" s="3"/>
      <c r="F8" s="4">
        <v>500</v>
      </c>
      <c r="G8" s="3">
        <v>2</v>
      </c>
      <c r="H8" s="3">
        <f t="shared" si="0"/>
        <v>1000</v>
      </c>
      <c r="K8" s="18">
        <f>COUNTIF(B4:H10,"Laptop")</f>
        <v>3</v>
      </c>
    </row>
    <row r="9" spans="2:14" ht="25.8" x14ac:dyDescent="0.3">
      <c r="B9" s="3">
        <v>5</v>
      </c>
      <c r="C9" s="3" t="s">
        <v>10</v>
      </c>
      <c r="D9" s="3" t="s">
        <v>11</v>
      </c>
      <c r="E9" s="3"/>
      <c r="F9" s="4">
        <v>20000</v>
      </c>
      <c r="G9" s="6">
        <v>4</v>
      </c>
      <c r="H9" s="3">
        <f t="shared" si="0"/>
        <v>80000</v>
      </c>
      <c r="K9">
        <f>COUNTIFS(C4:C10,"laptop",D4:D10,"Samsung")</f>
        <v>2</v>
      </c>
    </row>
    <row r="10" spans="2:14" ht="25.8" thickBot="1" x14ac:dyDescent="0.35">
      <c r="B10" s="1">
        <v>6</v>
      </c>
      <c r="C10" s="1" t="s">
        <v>7</v>
      </c>
      <c r="D10" s="1" t="s">
        <v>11</v>
      </c>
      <c r="E10" s="1"/>
      <c r="F10" s="2">
        <v>40000</v>
      </c>
      <c r="G10" s="1">
        <v>5</v>
      </c>
      <c r="H10" s="1">
        <f t="shared" si="0"/>
        <v>200000</v>
      </c>
    </row>
    <row r="11" spans="2:14" x14ac:dyDescent="0.3">
      <c r="H11" t="s">
        <v>7</v>
      </c>
      <c r="I11">
        <f>SUMIF(C4:C10,H11,H4:H10)</f>
        <v>450000</v>
      </c>
    </row>
    <row r="12" spans="2:14" x14ac:dyDescent="0.3">
      <c r="I12">
        <f>SUMIFS(H4:H10,C4:C10,"Laptop",D4:D10,"Samsung")</f>
        <v>300000</v>
      </c>
    </row>
    <row r="16" spans="2:14" x14ac:dyDescent="0.3">
      <c r="J16">
        <f>COUNTIF(B4:H10,"Laptop")</f>
        <v>3</v>
      </c>
    </row>
    <row r="18" spans="10:10" x14ac:dyDescent="0.3">
      <c r="J18">
        <f>COUNTIFS(C4:C10,"Laptop",D4:D10,"Samsung")</f>
        <v>2</v>
      </c>
    </row>
  </sheetData>
  <mergeCells count="1">
    <mergeCell ref="C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20FC-2CFC-4867-A719-F0647D46D74C}">
  <dimension ref="D3:H8"/>
  <sheetViews>
    <sheetView workbookViewId="0">
      <selection activeCell="P11" sqref="P11"/>
    </sheetView>
  </sheetViews>
  <sheetFormatPr defaultRowHeight="14.4" x14ac:dyDescent="0.3"/>
  <sheetData>
    <row r="3" spans="4:8" x14ac:dyDescent="0.3">
      <c r="D3" t="s">
        <v>16</v>
      </c>
      <c r="H3" s="22" t="s">
        <v>26</v>
      </c>
    </row>
    <row r="4" spans="4:8" x14ac:dyDescent="0.3">
      <c r="D4" t="s">
        <v>21</v>
      </c>
      <c r="H4" t="s">
        <v>16</v>
      </c>
    </row>
    <row r="5" spans="4:8" x14ac:dyDescent="0.3">
      <c r="D5" t="s">
        <v>22</v>
      </c>
    </row>
    <row r="6" spans="4:8" x14ac:dyDescent="0.3">
      <c r="D6" t="s">
        <v>23</v>
      </c>
    </row>
    <row r="7" spans="4:8" x14ac:dyDescent="0.3">
      <c r="D7" t="s">
        <v>24</v>
      </c>
    </row>
    <row r="8" spans="4:8" x14ac:dyDescent="0.3">
      <c r="D8" t="s">
        <v>25</v>
      </c>
    </row>
  </sheetData>
  <dataValidations count="1">
    <dataValidation type="list" allowBlank="1" showInputMessage="1" showErrorMessage="1" sqref="H4" xr:uid="{8DFF9187-E6BD-4056-9956-113F0767D758}">
      <formula1>$D$3:$D$8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5E6E-8979-4F92-A727-8C550CEF6D9C}">
  <dimension ref="D2:S18"/>
  <sheetViews>
    <sheetView workbookViewId="0">
      <selection activeCell="R5" sqref="R5"/>
    </sheetView>
  </sheetViews>
  <sheetFormatPr defaultRowHeight="14.4" x14ac:dyDescent="0.3"/>
  <sheetData>
    <row r="2" spans="4:19" ht="15" thickBot="1" x14ac:dyDescent="0.35"/>
    <row r="3" spans="4:19" x14ac:dyDescent="0.3">
      <c r="D3" s="9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4:19" x14ac:dyDescent="0.3">
      <c r="D4" s="12"/>
      <c r="N4" s="13"/>
      <c r="R4">
        <f>COUNTBLANK(D3:N18)</f>
        <v>167</v>
      </c>
    </row>
    <row r="5" spans="4:19" x14ac:dyDescent="0.3">
      <c r="D5" s="12"/>
      <c r="N5" s="13"/>
    </row>
    <row r="6" spans="4:19" x14ac:dyDescent="0.3">
      <c r="D6" s="12"/>
      <c r="G6">
        <v>8</v>
      </c>
      <c r="N6" s="13"/>
    </row>
    <row r="7" spans="4:19" x14ac:dyDescent="0.3">
      <c r="D7" s="12"/>
      <c r="F7">
        <v>7</v>
      </c>
      <c r="H7">
        <v>89</v>
      </c>
      <c r="N7" s="13"/>
    </row>
    <row r="8" spans="4:19" x14ac:dyDescent="0.3">
      <c r="D8" s="12"/>
      <c r="L8" t="s">
        <v>13</v>
      </c>
      <c r="N8" s="13"/>
    </row>
    <row r="9" spans="4:19" x14ac:dyDescent="0.3">
      <c r="D9" s="12"/>
      <c r="L9" t="s">
        <v>14</v>
      </c>
      <c r="N9" s="13"/>
    </row>
    <row r="10" spans="4:19" x14ac:dyDescent="0.3">
      <c r="D10" s="12"/>
      <c r="G10">
        <v>8</v>
      </c>
      <c r="L10" t="s">
        <v>15</v>
      </c>
      <c r="N10" s="13"/>
      <c r="P10">
        <f>COUNT(D3:N18)</f>
        <v>5</v>
      </c>
    </row>
    <row r="11" spans="4:19" x14ac:dyDescent="0.3">
      <c r="D11" s="12"/>
      <c r="L11" t="s">
        <v>16</v>
      </c>
      <c r="N11" s="13"/>
    </row>
    <row r="12" spans="4:19" x14ac:dyDescent="0.3">
      <c r="D12" s="12"/>
      <c r="N12" s="13"/>
    </row>
    <row r="13" spans="4:19" x14ac:dyDescent="0.3">
      <c r="D13" s="12"/>
      <c r="J13">
        <v>90</v>
      </c>
      <c r="N13" s="13"/>
      <c r="P13">
        <f>COUNTA(D3:N18)</f>
        <v>9</v>
      </c>
      <c r="S13">
        <f>COUNT(D3:N18)</f>
        <v>5</v>
      </c>
    </row>
    <row r="14" spans="4:19" x14ac:dyDescent="0.3">
      <c r="D14" s="12"/>
      <c r="N14" s="13"/>
    </row>
    <row r="15" spans="4:19" x14ac:dyDescent="0.3">
      <c r="D15" s="12"/>
      <c r="N15" s="13"/>
    </row>
    <row r="16" spans="4:19" x14ac:dyDescent="0.3">
      <c r="D16" s="12"/>
      <c r="N16" s="13"/>
    </row>
    <row r="17" spans="4:14" x14ac:dyDescent="0.3">
      <c r="D17" s="12"/>
      <c r="N17" s="13"/>
    </row>
    <row r="18" spans="4:14" ht="15" thickBot="1" x14ac:dyDescent="0.35">
      <c r="D18" s="14"/>
      <c r="E18" s="15"/>
      <c r="F18" s="15"/>
      <c r="G18" s="15"/>
      <c r="H18" s="15"/>
      <c r="I18" s="15"/>
      <c r="J18" s="15"/>
      <c r="K18" s="15"/>
      <c r="L18" s="15"/>
      <c r="M18" s="15"/>
      <c r="N18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5512-CA45-4AC3-B82D-A5739D262293}">
  <dimension ref="D5:K18"/>
  <sheetViews>
    <sheetView tabSelected="1" topLeftCell="A5" workbookViewId="0">
      <selection activeCell="D16" sqref="D16"/>
    </sheetView>
  </sheetViews>
  <sheetFormatPr defaultRowHeight="14.4" x14ac:dyDescent="0.3"/>
  <cols>
    <col min="4" max="4" width="6.5546875" bestFit="1" customWidth="1"/>
    <col min="5" max="5" width="5.109375" bestFit="1" customWidth="1"/>
    <col min="6" max="6" width="6.109375" bestFit="1" customWidth="1"/>
    <col min="7" max="7" width="12.21875" bestFit="1" customWidth="1"/>
    <col min="8" max="8" width="4.21875" bestFit="1" customWidth="1"/>
    <col min="9" max="9" width="7.6640625" bestFit="1" customWidth="1"/>
    <col min="10" max="10" width="7.33203125" bestFit="1" customWidth="1"/>
    <col min="11" max="11" width="10.5546875" bestFit="1" customWidth="1"/>
  </cols>
  <sheetData>
    <row r="5" spans="4:11" x14ac:dyDescent="0.3">
      <c r="D5" s="23" t="s">
        <v>26</v>
      </c>
      <c r="E5" s="23" t="s">
        <v>27</v>
      </c>
      <c r="F5" s="23" t="s">
        <v>28</v>
      </c>
      <c r="G5" s="23" t="s">
        <v>29</v>
      </c>
      <c r="H5" s="23" t="s">
        <v>30</v>
      </c>
      <c r="I5" s="23" t="s">
        <v>31</v>
      </c>
      <c r="J5" s="23" t="s">
        <v>32</v>
      </c>
      <c r="K5" s="23" t="s">
        <v>33</v>
      </c>
    </row>
    <row r="6" spans="4:11" x14ac:dyDescent="0.3">
      <c r="D6" s="24" t="s">
        <v>34</v>
      </c>
      <c r="E6" s="24" t="s">
        <v>35</v>
      </c>
      <c r="F6" s="24">
        <v>12000</v>
      </c>
      <c r="G6" s="25">
        <v>387.09677419354841</v>
      </c>
      <c r="H6" s="24">
        <v>22</v>
      </c>
      <c r="I6" s="24" t="s">
        <v>36</v>
      </c>
      <c r="J6" s="26">
        <v>20</v>
      </c>
      <c r="K6" s="27">
        <v>7741.9354838709678</v>
      </c>
    </row>
    <row r="7" spans="4:11" x14ac:dyDescent="0.3">
      <c r="D7" s="24" t="s">
        <v>37</v>
      </c>
      <c r="E7" s="24" t="s">
        <v>38</v>
      </c>
      <c r="F7" s="24">
        <v>15000</v>
      </c>
      <c r="G7" s="25">
        <v>483.87096774193549</v>
      </c>
      <c r="H7" s="24">
        <v>25</v>
      </c>
      <c r="I7" s="24" t="s">
        <v>39</v>
      </c>
      <c r="J7" s="26">
        <v>30</v>
      </c>
      <c r="K7" s="27">
        <v>14516.129032258064</v>
      </c>
    </row>
    <row r="8" spans="4:11" x14ac:dyDescent="0.3">
      <c r="D8" s="24" t="s">
        <v>40</v>
      </c>
      <c r="E8" s="24" t="s">
        <v>35</v>
      </c>
      <c r="F8" s="24">
        <v>18000</v>
      </c>
      <c r="G8" s="25">
        <v>580.64516129032256</v>
      </c>
      <c r="H8" s="24">
        <v>27</v>
      </c>
      <c r="I8" s="24" t="s">
        <v>41</v>
      </c>
      <c r="J8" s="26">
        <v>12</v>
      </c>
      <c r="K8" s="27">
        <v>6967.7419354838712</v>
      </c>
    </row>
    <row r="9" spans="4:11" x14ac:dyDescent="0.3">
      <c r="D9" s="24" t="s">
        <v>42</v>
      </c>
      <c r="E9" s="24" t="s">
        <v>43</v>
      </c>
      <c r="F9" s="24">
        <v>14000</v>
      </c>
      <c r="G9" s="25">
        <v>451.61290322580646</v>
      </c>
      <c r="H9" s="24">
        <v>24</v>
      </c>
      <c r="I9" s="24" t="s">
        <v>44</v>
      </c>
      <c r="J9" s="26">
        <v>15</v>
      </c>
      <c r="K9" s="27">
        <v>6774.1935483870966</v>
      </c>
    </row>
    <row r="10" spans="4:11" x14ac:dyDescent="0.3">
      <c r="D10" s="24" t="s">
        <v>22</v>
      </c>
      <c r="E10" s="24" t="s">
        <v>35</v>
      </c>
      <c r="F10" s="24">
        <v>16000</v>
      </c>
      <c r="G10" s="25">
        <v>516.12903225806451</v>
      </c>
      <c r="H10" s="24">
        <v>26</v>
      </c>
      <c r="I10" s="24" t="s">
        <v>36</v>
      </c>
      <c r="J10" s="26">
        <v>19</v>
      </c>
      <c r="K10" s="27">
        <v>9806.4516129032254</v>
      </c>
    </row>
    <row r="11" spans="4:11" x14ac:dyDescent="0.3">
      <c r="D11" s="24" t="s">
        <v>45</v>
      </c>
      <c r="E11" s="24" t="s">
        <v>38</v>
      </c>
      <c r="F11" s="24">
        <v>17000</v>
      </c>
      <c r="G11" s="25">
        <v>548.38709677419354</v>
      </c>
      <c r="H11" s="24">
        <v>28</v>
      </c>
      <c r="I11" s="24" t="s">
        <v>39</v>
      </c>
      <c r="J11" s="26">
        <v>30</v>
      </c>
      <c r="K11" s="27">
        <v>16451.612903225807</v>
      </c>
    </row>
    <row r="12" spans="4:11" x14ac:dyDescent="0.3">
      <c r="D12" s="24" t="s">
        <v>46</v>
      </c>
      <c r="E12" s="24" t="s">
        <v>43</v>
      </c>
      <c r="F12" s="24">
        <v>13000</v>
      </c>
      <c r="G12" s="25">
        <v>419.35483870967744</v>
      </c>
      <c r="H12" s="24">
        <v>23</v>
      </c>
      <c r="I12" s="24" t="s">
        <v>41</v>
      </c>
      <c r="J12" s="26">
        <v>31</v>
      </c>
      <c r="K12" s="27">
        <v>13000</v>
      </c>
    </row>
    <row r="13" spans="4:11" x14ac:dyDescent="0.3">
      <c r="D13" s="24" t="s">
        <v>47</v>
      </c>
      <c r="E13" s="24" t="s">
        <v>35</v>
      </c>
      <c r="F13" s="24">
        <v>20000</v>
      </c>
      <c r="G13" s="25">
        <v>645.16129032258061</v>
      </c>
      <c r="H13" s="24">
        <v>29</v>
      </c>
      <c r="I13" s="24" t="s">
        <v>36</v>
      </c>
      <c r="J13" s="26">
        <v>25</v>
      </c>
      <c r="K13" s="27">
        <v>16129.032258064515</v>
      </c>
    </row>
    <row r="14" spans="4:11" x14ac:dyDescent="0.3">
      <c r="D14" s="24" t="s">
        <v>48</v>
      </c>
      <c r="E14" s="24" t="s">
        <v>43</v>
      </c>
      <c r="F14" s="24">
        <v>11000</v>
      </c>
      <c r="G14" s="25">
        <v>354.83870967741933</v>
      </c>
      <c r="H14" s="24">
        <v>21</v>
      </c>
      <c r="I14" s="24" t="s">
        <v>44</v>
      </c>
      <c r="J14" s="26">
        <v>29</v>
      </c>
      <c r="K14" s="27">
        <v>10290.322580645161</v>
      </c>
    </row>
    <row r="15" spans="4:11" x14ac:dyDescent="0.3">
      <c r="D15" s="24" t="s">
        <v>49</v>
      </c>
      <c r="E15" s="24" t="s">
        <v>38</v>
      </c>
      <c r="F15" s="24">
        <v>15500</v>
      </c>
      <c r="G15" s="25">
        <v>500</v>
      </c>
      <c r="H15" s="24">
        <v>26</v>
      </c>
      <c r="I15" s="24" t="s">
        <v>39</v>
      </c>
      <c r="J15" s="26">
        <v>26</v>
      </c>
      <c r="K15" s="27">
        <v>13000</v>
      </c>
    </row>
    <row r="16" spans="4:11" x14ac:dyDescent="0.3">
      <c r="D16" s="28"/>
    </row>
    <row r="17" spans="4:4" x14ac:dyDescent="0.3">
      <c r="D17" s="28"/>
    </row>
    <row r="18" spans="4:4" x14ac:dyDescent="0.3">
      <c r="D18" s="28"/>
    </row>
  </sheetData>
  <conditionalFormatting sqref="D5:K1048576">
    <cfRule type="expression" dxfId="0" priority="1">
      <formula>$D5&lt;&gt;""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 Function</vt:lpstr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Aamna</dc:creator>
  <cp:lastModifiedBy>ARJUN INDORAM</cp:lastModifiedBy>
  <dcterms:created xsi:type="dcterms:W3CDTF">2023-05-29T08:20:01Z</dcterms:created>
  <dcterms:modified xsi:type="dcterms:W3CDTF">2026-02-13T06:28:18Z</dcterms:modified>
</cp:coreProperties>
</file>