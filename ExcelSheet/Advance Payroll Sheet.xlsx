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4feae3cb1431f1/Desktop/Excel/"/>
    </mc:Choice>
  </mc:AlternateContent>
  <xr:revisionPtr revIDLastSave="56" documentId="13_ncr:1_{F25A3708-CDFB-415A-A537-A7D2D4F7A97E}" xr6:coauthVersionLast="47" xr6:coauthVersionMax="47" xr10:uidLastSave="{964157C3-A940-4662-8EA2-808A6AF2C653}"/>
  <bookViews>
    <workbookView xWindow="-108" yWindow="-108" windowWidth="23256" windowHeight="12456" activeTab="2" xr2:uid="{53C33F9B-E2EF-4284-87AA-EA66B59242DA}"/>
  </bookViews>
  <sheets>
    <sheet name="Payroll Sheet" sheetId="1" r:id="rId1"/>
    <sheet name="Sheet1" sheetId="3" r:id="rId2"/>
    <sheet name="Formula For Payroll Shee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1" l="1"/>
  <c r="L5" i="1"/>
  <c r="I5" i="1"/>
  <c r="F5" i="1"/>
  <c r="G5" i="1"/>
  <c r="J5" i="1"/>
  <c r="K5" i="1"/>
  <c r="L6" i="1"/>
  <c r="M6" i="1" s="1"/>
  <c r="D21" i="3"/>
  <c r="D20" i="3"/>
  <c r="H5" i="1"/>
  <c r="F7" i="1"/>
  <c r="I7" i="1" s="1"/>
  <c r="M7" i="1" s="1"/>
  <c r="F8" i="1"/>
  <c r="F9" i="1"/>
  <c r="I9" i="1" s="1"/>
  <c r="M9" i="1" s="1"/>
  <c r="F10" i="1"/>
  <c r="F11" i="1"/>
  <c r="F12" i="1"/>
  <c r="F13" i="1"/>
  <c r="F14" i="1"/>
  <c r="F6" i="1"/>
  <c r="I6" i="1" s="1"/>
  <c r="H10" i="1"/>
  <c r="L7" i="1"/>
  <c r="L8" i="1"/>
  <c r="L9" i="1"/>
  <c r="L10" i="1"/>
  <c r="L11" i="1"/>
  <c r="L12" i="1"/>
  <c r="L13" i="1"/>
  <c r="L14" i="1"/>
  <c r="K6" i="1"/>
  <c r="K7" i="1"/>
  <c r="K8" i="1"/>
  <c r="K9" i="1"/>
  <c r="K10" i="1"/>
  <c r="K11" i="1"/>
  <c r="K12" i="1"/>
  <c r="K13" i="1"/>
  <c r="K14" i="1"/>
  <c r="J6" i="1"/>
  <c r="J7" i="1"/>
  <c r="J8" i="1"/>
  <c r="J9" i="1"/>
  <c r="J10" i="1"/>
  <c r="J11" i="1"/>
  <c r="J12" i="1"/>
  <c r="J13" i="1"/>
  <c r="J14" i="1"/>
  <c r="I8" i="1"/>
  <c r="M8" i="1" s="1"/>
  <c r="I10" i="1"/>
  <c r="M10" i="1" s="1"/>
  <c r="I11" i="1"/>
  <c r="M11" i="1" s="1"/>
  <c r="I12" i="1"/>
  <c r="M12" i="1" s="1"/>
  <c r="I13" i="1"/>
  <c r="M13" i="1" s="1"/>
  <c r="I14" i="1"/>
  <c r="M14" i="1" s="1"/>
  <c r="H6" i="1"/>
  <c r="H7" i="1"/>
  <c r="H8" i="1"/>
  <c r="H9" i="1"/>
  <c r="H11" i="1"/>
  <c r="H12" i="1"/>
  <c r="H13" i="1"/>
  <c r="H14" i="1"/>
  <c r="G6" i="1"/>
  <c r="G7" i="1"/>
  <c r="G8" i="1"/>
  <c r="G9" i="1"/>
  <c r="G10" i="1"/>
  <c r="G11" i="1"/>
  <c r="G12" i="1"/>
  <c r="G13" i="1"/>
  <c r="G14" i="1"/>
</calcChain>
</file>

<file path=xl/sharedStrings.xml><?xml version="1.0" encoding="utf-8"?>
<sst xmlns="http://schemas.openxmlformats.org/spreadsheetml/2006/main" count="48" uniqueCount="45">
  <si>
    <t>Serial no</t>
  </si>
  <si>
    <t>Account No</t>
  </si>
  <si>
    <t>Name</t>
  </si>
  <si>
    <t>Basic Salary</t>
  </si>
  <si>
    <t>DA</t>
  </si>
  <si>
    <t>TRA</t>
  </si>
  <si>
    <t>HRA</t>
  </si>
  <si>
    <t>Gross Salary</t>
  </si>
  <si>
    <t>ESI</t>
  </si>
  <si>
    <t>EPF</t>
  </si>
  <si>
    <t>TD</t>
  </si>
  <si>
    <t>Net Salary</t>
  </si>
  <si>
    <t>Mahi</t>
  </si>
  <si>
    <t>Preeti</t>
  </si>
  <si>
    <t>Rahul</t>
  </si>
  <si>
    <t>Payroll Sheet</t>
  </si>
  <si>
    <t>Dolly</t>
  </si>
  <si>
    <t>Mehak</t>
  </si>
  <si>
    <t>Neha</t>
  </si>
  <si>
    <t>Annu</t>
  </si>
  <si>
    <t>Ansh</t>
  </si>
  <si>
    <t>Malik</t>
  </si>
  <si>
    <t>Priya</t>
  </si>
  <si>
    <t>GS</t>
  </si>
  <si>
    <t>NS</t>
  </si>
  <si>
    <t xml:space="preserve">Dinner  Allowance </t>
  </si>
  <si>
    <t>House Rent Allowance</t>
  </si>
  <si>
    <t>Travelling Allowance</t>
  </si>
  <si>
    <t>Employee's Provident Fund</t>
  </si>
  <si>
    <t>Employee's State Insurance</t>
  </si>
  <si>
    <t>Total Deduction</t>
  </si>
  <si>
    <t>Formula For Payroll Sheet</t>
  </si>
  <si>
    <t>Basic Salary * HRA</t>
  </si>
  <si>
    <t>Basic Salary * DA</t>
  </si>
  <si>
    <t>Basic Salary * ESI</t>
  </si>
  <si>
    <t>Basic Salary * EPF</t>
  </si>
  <si>
    <t>Basic Salary * TRA</t>
  </si>
  <si>
    <t>Basic Salary + DA + TRA +HRA</t>
  </si>
  <si>
    <t>Sum(ESI+EPF)</t>
  </si>
  <si>
    <t xml:space="preserve">Gross Salary -  Total Deduction </t>
  </si>
  <si>
    <t>DA (2%)</t>
  </si>
  <si>
    <t>TRA (3%)</t>
  </si>
  <si>
    <t>HRA (4%)</t>
  </si>
  <si>
    <t>ESI (5%)</t>
  </si>
  <si>
    <t>EPF (6%)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</si>
</sst>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Times"/>
    </font>
    <font>
      <b/>
      <sz val="16"/>
      <color theme="1"/>
      <name val="Times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" fillId="0" borderId="0" xfId="0" applyFont="1"/>
    <xf numFmtId="0" fontId="3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074B-03BF-4F3A-B2D6-CA7300C60D28}">
  <dimension ref="B2:N14"/>
  <sheetViews>
    <sheetView zoomScale="74" zoomScaleNormal="85" workbookViewId="0">
      <selection activeCell="M6" sqref="M6"/>
    </sheetView>
  </sheetViews>
  <sheetFormatPr defaultRowHeight="14.4" x14ac:dyDescent="0.3"/>
  <cols>
    <col min="2" max="2" width="13.33203125" bestFit="1" customWidth="1"/>
    <col min="3" max="3" width="20.5546875" customWidth="1"/>
    <col min="4" max="4" width="16.44140625" customWidth="1"/>
    <col min="5" max="5" width="20.5546875" customWidth="1"/>
    <col min="6" max="8" width="19" customWidth="1"/>
    <col min="9" max="10" width="23.109375" customWidth="1"/>
    <col min="11" max="11" width="19.44140625" customWidth="1"/>
    <col min="12" max="12" width="18.6640625" customWidth="1"/>
    <col min="13" max="13" width="23.109375" customWidth="1"/>
  </cols>
  <sheetData>
    <row r="2" spans="2:14" ht="23.4" thickBot="1" x14ac:dyDescent="0.45">
      <c r="D2" s="11" t="s">
        <v>15</v>
      </c>
      <c r="E2" s="11"/>
      <c r="F2" s="11"/>
      <c r="G2" s="11"/>
      <c r="H2" s="11"/>
      <c r="I2" s="11"/>
      <c r="J2" s="11"/>
    </row>
    <row r="4" spans="2:14" ht="20.399999999999999" x14ac:dyDescent="0.3">
      <c r="B4" s="8" t="s">
        <v>0</v>
      </c>
      <c r="C4" s="8" t="s">
        <v>1</v>
      </c>
      <c r="D4" s="8" t="s">
        <v>2</v>
      </c>
      <c r="E4" s="8" t="s">
        <v>3</v>
      </c>
      <c r="F4" s="8" t="s">
        <v>40</v>
      </c>
      <c r="G4" s="8" t="s">
        <v>41</v>
      </c>
      <c r="H4" s="8" t="s">
        <v>42</v>
      </c>
      <c r="I4" s="8" t="s">
        <v>7</v>
      </c>
      <c r="J4" s="8" t="s">
        <v>43</v>
      </c>
      <c r="K4" s="8" t="s">
        <v>44</v>
      </c>
      <c r="L4" s="8" t="s">
        <v>10</v>
      </c>
      <c r="M4" s="8" t="s">
        <v>11</v>
      </c>
    </row>
    <row r="5" spans="2:14" ht="21" x14ac:dyDescent="0.3">
      <c r="B5" s="9">
        <v>1</v>
      </c>
      <c r="C5" s="9">
        <v>345678992</v>
      </c>
      <c r="D5" s="9" t="s">
        <v>12</v>
      </c>
      <c r="E5" s="10">
        <v>20000</v>
      </c>
      <c r="F5" s="9">
        <f>E5*2%</f>
        <v>400</v>
      </c>
      <c r="G5" s="9">
        <f>E5*3%</f>
        <v>600</v>
      </c>
      <c r="H5" s="9">
        <f>E5*4%</f>
        <v>800</v>
      </c>
      <c r="I5" s="10">
        <f>SUM(E5:H5)</f>
        <v>21800</v>
      </c>
      <c r="J5" s="9">
        <f>E5*5%</f>
        <v>1000</v>
      </c>
      <c r="K5" s="9">
        <f>E5*6%</f>
        <v>1200</v>
      </c>
      <c r="L5" s="9">
        <f>SUM(J5:K5)</f>
        <v>2200</v>
      </c>
      <c r="M5" s="10">
        <f>I5-L5</f>
        <v>19600</v>
      </c>
    </row>
    <row r="6" spans="2:14" ht="21" x14ac:dyDescent="0.3">
      <c r="B6" s="9">
        <v>2</v>
      </c>
      <c r="C6" s="9">
        <v>345678992</v>
      </c>
      <c r="D6" s="9" t="s">
        <v>13</v>
      </c>
      <c r="E6" s="10">
        <v>40000</v>
      </c>
      <c r="F6" s="9">
        <f>E6*2%</f>
        <v>800</v>
      </c>
      <c r="G6" s="9">
        <f t="shared" ref="G6:G14" si="0">E6*3%</f>
        <v>1200</v>
      </c>
      <c r="H6" s="9">
        <f t="shared" ref="H6:H14" si="1">E6*4%</f>
        <v>1600</v>
      </c>
      <c r="I6" s="10">
        <f t="shared" ref="I6:I14" si="2">SUM(E6:H6)</f>
        <v>43600</v>
      </c>
      <c r="J6" s="9">
        <f t="shared" ref="J6:J14" si="3">E6*5%</f>
        <v>2000</v>
      </c>
      <c r="K6" s="9">
        <f t="shared" ref="K6:K14" si="4">E6*6%</f>
        <v>2400</v>
      </c>
      <c r="L6" s="9">
        <f t="shared" ref="L6:L14" si="5">SUM(J6:K6)</f>
        <v>4400</v>
      </c>
      <c r="M6" s="10">
        <f t="shared" ref="M6:M14" si="6">I6-L6</f>
        <v>39200</v>
      </c>
    </row>
    <row r="7" spans="2:14" ht="21" x14ac:dyDescent="0.3">
      <c r="B7" s="9">
        <v>3</v>
      </c>
      <c r="C7" s="9">
        <v>345128992</v>
      </c>
      <c r="D7" s="9" t="s">
        <v>14</v>
      </c>
      <c r="E7" s="10">
        <v>30000</v>
      </c>
      <c r="F7" s="9">
        <f t="shared" ref="F7:F14" si="7">E7*2%</f>
        <v>600</v>
      </c>
      <c r="G7" s="9">
        <f t="shared" si="0"/>
        <v>900</v>
      </c>
      <c r="H7" s="9">
        <f t="shared" si="1"/>
        <v>1200</v>
      </c>
      <c r="I7" s="10">
        <f t="shared" si="2"/>
        <v>32700</v>
      </c>
      <c r="J7" s="9">
        <f t="shared" si="3"/>
        <v>1500</v>
      </c>
      <c r="K7" s="9">
        <f t="shared" si="4"/>
        <v>1800</v>
      </c>
      <c r="L7" s="9">
        <f t="shared" si="5"/>
        <v>3300</v>
      </c>
      <c r="M7" s="10">
        <f t="shared" si="6"/>
        <v>29400</v>
      </c>
    </row>
    <row r="8" spans="2:14" ht="21" x14ac:dyDescent="0.3">
      <c r="B8" s="9">
        <v>4</v>
      </c>
      <c r="C8" s="9">
        <v>145678992</v>
      </c>
      <c r="D8" s="9" t="s">
        <v>16</v>
      </c>
      <c r="E8" s="10">
        <v>80000</v>
      </c>
      <c r="F8" s="9">
        <f t="shared" si="7"/>
        <v>1600</v>
      </c>
      <c r="G8" s="9">
        <f t="shared" si="0"/>
        <v>2400</v>
      </c>
      <c r="H8" s="9">
        <f t="shared" si="1"/>
        <v>3200</v>
      </c>
      <c r="I8" s="10">
        <f t="shared" si="2"/>
        <v>87200</v>
      </c>
      <c r="J8" s="9">
        <f t="shared" si="3"/>
        <v>4000</v>
      </c>
      <c r="K8" s="9">
        <f t="shared" si="4"/>
        <v>4800</v>
      </c>
      <c r="L8" s="9">
        <f t="shared" si="5"/>
        <v>8800</v>
      </c>
      <c r="M8" s="10">
        <f t="shared" si="6"/>
        <v>78400</v>
      </c>
    </row>
    <row r="9" spans="2:14" ht="21" x14ac:dyDescent="0.3">
      <c r="B9" s="9">
        <v>5</v>
      </c>
      <c r="C9" s="9">
        <v>345678992</v>
      </c>
      <c r="D9" s="9" t="s">
        <v>17</v>
      </c>
      <c r="E9" s="10">
        <v>60000</v>
      </c>
      <c r="F9" s="9">
        <f t="shared" si="7"/>
        <v>1200</v>
      </c>
      <c r="G9" s="9">
        <f t="shared" si="0"/>
        <v>1800</v>
      </c>
      <c r="H9" s="9">
        <f t="shared" si="1"/>
        <v>2400</v>
      </c>
      <c r="I9" s="10">
        <f t="shared" si="2"/>
        <v>65400</v>
      </c>
      <c r="J9" s="9">
        <f t="shared" si="3"/>
        <v>3000</v>
      </c>
      <c r="K9" s="9">
        <f t="shared" si="4"/>
        <v>3600</v>
      </c>
      <c r="L9" s="9">
        <f t="shared" si="5"/>
        <v>6600</v>
      </c>
      <c r="M9" s="10">
        <f t="shared" si="6"/>
        <v>58800</v>
      </c>
    </row>
    <row r="10" spans="2:14" ht="21" x14ac:dyDescent="0.3">
      <c r="B10" s="9">
        <v>6</v>
      </c>
      <c r="C10" s="9">
        <v>345678992</v>
      </c>
      <c r="D10" s="9" t="s">
        <v>18</v>
      </c>
      <c r="E10" s="10">
        <v>72000</v>
      </c>
      <c r="F10" s="9">
        <f t="shared" si="7"/>
        <v>1440</v>
      </c>
      <c r="G10" s="9">
        <f t="shared" si="0"/>
        <v>2160</v>
      </c>
      <c r="H10" s="9">
        <f>E10*4%</f>
        <v>2880</v>
      </c>
      <c r="I10" s="10">
        <f t="shared" si="2"/>
        <v>78480</v>
      </c>
      <c r="J10" s="9">
        <f t="shared" si="3"/>
        <v>3600</v>
      </c>
      <c r="K10" s="9">
        <f t="shared" si="4"/>
        <v>4320</v>
      </c>
      <c r="L10" s="9">
        <f t="shared" si="5"/>
        <v>7920</v>
      </c>
      <c r="M10" s="10">
        <f t="shared" si="6"/>
        <v>70560</v>
      </c>
    </row>
    <row r="11" spans="2:14" ht="21" x14ac:dyDescent="0.3">
      <c r="B11" s="9">
        <v>7</v>
      </c>
      <c r="C11" s="9">
        <v>345678992</v>
      </c>
      <c r="D11" s="9" t="s">
        <v>19</v>
      </c>
      <c r="E11" s="10">
        <v>62000</v>
      </c>
      <c r="F11" s="9">
        <f t="shared" si="7"/>
        <v>1240</v>
      </c>
      <c r="G11" s="9">
        <f t="shared" si="0"/>
        <v>1860</v>
      </c>
      <c r="H11" s="9">
        <f t="shared" si="1"/>
        <v>2480</v>
      </c>
      <c r="I11" s="10">
        <f t="shared" si="2"/>
        <v>67580</v>
      </c>
      <c r="J11" s="9">
        <f t="shared" si="3"/>
        <v>3100</v>
      </c>
      <c r="K11" s="9">
        <f t="shared" si="4"/>
        <v>3720</v>
      </c>
      <c r="L11" s="9">
        <f t="shared" si="5"/>
        <v>6820</v>
      </c>
      <c r="M11" s="10">
        <f t="shared" si="6"/>
        <v>60760</v>
      </c>
    </row>
    <row r="12" spans="2:14" ht="21" x14ac:dyDescent="0.3">
      <c r="B12" s="9">
        <v>8</v>
      </c>
      <c r="C12" s="9">
        <v>345678992</v>
      </c>
      <c r="D12" s="9" t="s">
        <v>20</v>
      </c>
      <c r="E12" s="10">
        <v>45000</v>
      </c>
      <c r="F12" s="9">
        <f t="shared" si="7"/>
        <v>900</v>
      </c>
      <c r="G12" s="9">
        <f t="shared" si="0"/>
        <v>1350</v>
      </c>
      <c r="H12" s="9">
        <f t="shared" si="1"/>
        <v>1800</v>
      </c>
      <c r="I12" s="10">
        <f t="shared" si="2"/>
        <v>49050</v>
      </c>
      <c r="J12" s="9">
        <f t="shared" si="3"/>
        <v>2250</v>
      </c>
      <c r="K12" s="9">
        <f t="shared" si="4"/>
        <v>2700</v>
      </c>
      <c r="L12" s="9">
        <f t="shared" si="5"/>
        <v>4950</v>
      </c>
      <c r="M12" s="10">
        <f t="shared" si="6"/>
        <v>44100</v>
      </c>
    </row>
    <row r="13" spans="2:14" ht="21" x14ac:dyDescent="0.3">
      <c r="B13" s="9">
        <v>9</v>
      </c>
      <c r="C13" s="9">
        <v>345678992</v>
      </c>
      <c r="D13" s="9" t="s">
        <v>21</v>
      </c>
      <c r="E13" s="10">
        <v>55000</v>
      </c>
      <c r="F13" s="9">
        <f t="shared" si="7"/>
        <v>1100</v>
      </c>
      <c r="G13" s="9">
        <f t="shared" si="0"/>
        <v>1650</v>
      </c>
      <c r="H13" s="9">
        <f t="shared" si="1"/>
        <v>2200</v>
      </c>
      <c r="I13" s="10">
        <f t="shared" si="2"/>
        <v>59950</v>
      </c>
      <c r="J13" s="9">
        <f t="shared" si="3"/>
        <v>2750</v>
      </c>
      <c r="K13" s="9">
        <f t="shared" si="4"/>
        <v>3300</v>
      </c>
      <c r="L13" s="9">
        <f t="shared" si="5"/>
        <v>6050</v>
      </c>
      <c r="M13" s="10">
        <f t="shared" si="6"/>
        <v>53900</v>
      </c>
    </row>
    <row r="14" spans="2:14" ht="21" x14ac:dyDescent="0.3">
      <c r="B14" s="9">
        <v>10</v>
      </c>
      <c r="C14" s="9">
        <v>345678992</v>
      </c>
      <c r="D14" s="9" t="s">
        <v>22</v>
      </c>
      <c r="E14" s="10">
        <v>60000</v>
      </c>
      <c r="F14" s="9">
        <f t="shared" si="7"/>
        <v>1200</v>
      </c>
      <c r="G14" s="9">
        <f t="shared" si="0"/>
        <v>1800</v>
      </c>
      <c r="H14" s="9">
        <f t="shared" si="1"/>
        <v>2400</v>
      </c>
      <c r="I14" s="10">
        <f t="shared" si="2"/>
        <v>65400</v>
      </c>
      <c r="J14" s="9">
        <f t="shared" si="3"/>
        <v>3000</v>
      </c>
      <c r="K14" s="9">
        <f t="shared" si="4"/>
        <v>3600</v>
      </c>
      <c r="L14" s="9">
        <f t="shared" si="5"/>
        <v>6600</v>
      </c>
      <c r="M14" s="10">
        <f t="shared" si="6"/>
        <v>58800</v>
      </c>
      <c r="N14" s="7"/>
    </row>
  </sheetData>
  <mergeCells count="1">
    <mergeCell ref="D2:J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91B18-B972-4B73-AE37-3C71924F505D}">
  <dimension ref="D4:D21"/>
  <sheetViews>
    <sheetView workbookViewId="0">
      <selection activeCell="D4" sqref="D4:D10"/>
    </sheetView>
  </sheetViews>
  <sheetFormatPr defaultRowHeight="14.4" x14ac:dyDescent="0.3"/>
  <sheetData>
    <row r="4" spans="4:4" x14ac:dyDescent="0.3">
      <c r="D4">
        <v>34</v>
      </c>
    </row>
    <row r="5" spans="4:4" x14ac:dyDescent="0.3">
      <c r="D5">
        <v>32</v>
      </c>
    </row>
    <row r="6" spans="4:4" x14ac:dyDescent="0.3">
      <c r="D6">
        <v>80</v>
      </c>
    </row>
    <row r="7" spans="4:4" x14ac:dyDescent="0.3">
      <c r="D7">
        <v>57</v>
      </c>
    </row>
    <row r="8" spans="4:4" x14ac:dyDescent="0.3">
      <c r="D8">
        <v>61</v>
      </c>
    </row>
    <row r="9" spans="4:4" x14ac:dyDescent="0.3">
      <c r="D9">
        <v>52</v>
      </c>
    </row>
    <row r="10" spans="4:4" x14ac:dyDescent="0.3">
      <c r="D10">
        <v>77</v>
      </c>
    </row>
    <row r="11" spans="4:4" x14ac:dyDescent="0.3">
      <c r="D11">
        <v>93</v>
      </c>
    </row>
    <row r="12" spans="4:4" x14ac:dyDescent="0.3">
      <c r="D12">
        <v>97</v>
      </c>
    </row>
    <row r="13" spans="4:4" x14ac:dyDescent="0.3">
      <c r="D13">
        <v>54</v>
      </c>
    </row>
    <row r="14" spans="4:4" x14ac:dyDescent="0.3">
      <c r="D14">
        <v>80</v>
      </c>
    </row>
    <row r="15" spans="4:4" x14ac:dyDescent="0.3">
      <c r="D15">
        <v>31</v>
      </c>
    </row>
    <row r="16" spans="4:4" x14ac:dyDescent="0.3">
      <c r="D16">
        <v>79</v>
      </c>
    </row>
    <row r="17" spans="4:4" x14ac:dyDescent="0.3">
      <c r="D17">
        <v>70</v>
      </c>
    </row>
    <row r="18" spans="4:4" x14ac:dyDescent="0.3">
      <c r="D18">
        <v>75</v>
      </c>
    </row>
    <row r="19" spans="4:4" x14ac:dyDescent="0.3">
      <c r="D19">
        <v>41</v>
      </c>
    </row>
    <row r="20" spans="4:4" x14ac:dyDescent="0.3">
      <c r="D20">
        <f>SUM(D4:D19)</f>
        <v>1013</v>
      </c>
    </row>
    <row r="21" spans="4:4" x14ac:dyDescent="0.3">
      <c r="D21">
        <f>AVERAGE(D4:D19)</f>
        <v>63.3125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697FC-115F-4597-BE26-54D949EBE819}">
  <dimension ref="D2:F11"/>
  <sheetViews>
    <sheetView tabSelected="1" zoomScale="130" zoomScaleNormal="130" workbookViewId="0">
      <selection activeCell="E15" sqref="E15"/>
    </sheetView>
  </sheetViews>
  <sheetFormatPr defaultRowHeight="14.4" x14ac:dyDescent="0.3"/>
  <cols>
    <col min="4" max="4" width="12.88671875" customWidth="1"/>
    <col min="5" max="5" width="40.6640625" bestFit="1" customWidth="1"/>
    <col min="6" max="6" width="48.5546875" bestFit="1" customWidth="1"/>
  </cols>
  <sheetData>
    <row r="2" spans="4:6" ht="23.4" thickBot="1" x14ac:dyDescent="0.45">
      <c r="D2" s="12" t="s">
        <v>31</v>
      </c>
      <c r="E2" s="12"/>
      <c r="F2" s="12"/>
    </row>
    <row r="3" spans="4:6" ht="15" thickBot="1" x14ac:dyDescent="0.35"/>
    <row r="4" spans="4:6" ht="22.8" x14ac:dyDescent="0.4">
      <c r="D4" s="4" t="s">
        <v>4</v>
      </c>
      <c r="E4" s="1" t="s">
        <v>25</v>
      </c>
      <c r="F4" s="1" t="s">
        <v>33</v>
      </c>
    </row>
    <row r="5" spans="4:6" ht="22.8" x14ac:dyDescent="0.4">
      <c r="D5" s="5" t="s">
        <v>5</v>
      </c>
      <c r="E5" s="2" t="s">
        <v>27</v>
      </c>
      <c r="F5" s="2" t="s">
        <v>36</v>
      </c>
    </row>
    <row r="6" spans="4:6" ht="22.8" x14ac:dyDescent="0.4">
      <c r="D6" s="5" t="s">
        <v>6</v>
      </c>
      <c r="E6" s="2" t="s">
        <v>26</v>
      </c>
      <c r="F6" s="2" t="s">
        <v>32</v>
      </c>
    </row>
    <row r="7" spans="4:6" ht="22.8" x14ac:dyDescent="0.4">
      <c r="D7" s="5" t="s">
        <v>23</v>
      </c>
      <c r="E7" s="2" t="s">
        <v>7</v>
      </c>
      <c r="F7" s="2" t="s">
        <v>37</v>
      </c>
    </row>
    <row r="8" spans="4:6" ht="22.8" x14ac:dyDescent="0.4">
      <c r="D8" s="5" t="s">
        <v>8</v>
      </c>
      <c r="E8" s="2" t="s">
        <v>29</v>
      </c>
      <c r="F8" s="2" t="s">
        <v>34</v>
      </c>
    </row>
    <row r="9" spans="4:6" ht="22.8" x14ac:dyDescent="0.4">
      <c r="D9" s="5" t="s">
        <v>9</v>
      </c>
      <c r="E9" s="2" t="s">
        <v>28</v>
      </c>
      <c r="F9" s="2" t="s">
        <v>35</v>
      </c>
    </row>
    <row r="10" spans="4:6" ht="22.8" x14ac:dyDescent="0.4">
      <c r="D10" s="5" t="s">
        <v>10</v>
      </c>
      <c r="E10" s="2" t="s">
        <v>30</v>
      </c>
      <c r="F10" s="2" t="s">
        <v>38</v>
      </c>
    </row>
    <row r="11" spans="4:6" ht="23.4" thickBot="1" x14ac:dyDescent="0.45">
      <c r="D11" s="6" t="s">
        <v>24</v>
      </c>
      <c r="E11" s="3" t="s">
        <v>11</v>
      </c>
      <c r="F11" s="3" t="s">
        <v>39</v>
      </c>
    </row>
  </sheetData>
  <mergeCells count="1">
    <mergeCell ref="D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 Sheet</vt:lpstr>
      <vt:lpstr>Sheet1</vt:lpstr>
      <vt:lpstr>Formula For Payroll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Aamna</dc:creator>
  <cp:lastModifiedBy>ARJUN INDORAM</cp:lastModifiedBy>
  <cp:lastPrinted>2023-06-28T10:59:38Z</cp:lastPrinted>
  <dcterms:created xsi:type="dcterms:W3CDTF">2023-05-31T12:41:10Z</dcterms:created>
  <dcterms:modified xsi:type="dcterms:W3CDTF">2026-02-13T11:13:00Z</dcterms:modified>
</cp:coreProperties>
</file>