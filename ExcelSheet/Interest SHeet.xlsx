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4feae3cb1431f1/Desktop/Excel/"/>
    </mc:Choice>
  </mc:AlternateContent>
  <xr:revisionPtr revIDLastSave="271" documentId="13_ncr:1_{16D53425-3F2F-4AA0-A40E-7752019843BA}" xr6:coauthVersionLast="47" xr6:coauthVersionMax="47" xr10:uidLastSave="{06FDD6EC-20ED-4911-BDFB-6BF6136608F7}"/>
  <bookViews>
    <workbookView xWindow="-108" yWindow="-108" windowWidth="23256" windowHeight="12456" activeTab="3" xr2:uid="{D8ABFACC-BD20-41BC-8803-92BAF47364D7}"/>
  </bookViews>
  <sheets>
    <sheet name="Sheet2" sheetId="4" r:id="rId1"/>
    <sheet name="Interest Sheet" sheetId="1" r:id="rId2"/>
    <sheet name="Sheet1" sheetId="3" r:id="rId3"/>
    <sheet name="Formula for Interest Sheet" sheetId="2" r:id="rId4"/>
  </sheets>
  <definedNames>
    <definedName name="ritu">#REF!</definedName>
    <definedName name="simramn">#REF!</definedName>
    <definedName name="simra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1" l="1"/>
  <c r="I5" i="1"/>
  <c r="J5" i="1"/>
  <c r="H5" i="1"/>
  <c r="H6" i="1"/>
  <c r="J6" i="1" s="1"/>
  <c r="H7" i="1"/>
  <c r="H8" i="1"/>
  <c r="H9" i="1"/>
  <c r="H10" i="1"/>
  <c r="H11" i="1"/>
  <c r="H12" i="1"/>
  <c r="I12" i="1" s="1"/>
  <c r="K12" i="1" s="1"/>
  <c r="H13" i="1"/>
  <c r="I13" i="1" s="1"/>
  <c r="K13" i="1" s="1"/>
  <c r="H14" i="1"/>
  <c r="I14" i="1" s="1"/>
  <c r="K14" i="1" s="1"/>
  <c r="I8" i="1"/>
  <c r="K8" i="1" s="1"/>
  <c r="I10" i="1"/>
  <c r="K10" i="1" s="1"/>
  <c r="I11" i="1"/>
  <c r="K11" i="1" s="1"/>
  <c r="K6" i="3"/>
  <c r="J6" i="3"/>
  <c r="I6" i="3"/>
  <c r="H6" i="3"/>
  <c r="K15" i="3"/>
  <c r="I15" i="3"/>
  <c r="H15" i="3"/>
  <c r="J15" i="3" s="1"/>
  <c r="J14" i="3"/>
  <c r="I14" i="3"/>
  <c r="K14" i="3" s="1"/>
  <c r="H14" i="3"/>
  <c r="K13" i="3"/>
  <c r="J13" i="3"/>
  <c r="I13" i="3"/>
  <c r="H13" i="3"/>
  <c r="K12" i="3"/>
  <c r="J12" i="3"/>
  <c r="I12" i="3"/>
  <c r="H12" i="3"/>
  <c r="H11" i="3"/>
  <c r="I11" i="3" s="1"/>
  <c r="K11" i="3" s="1"/>
  <c r="J10" i="3"/>
  <c r="I10" i="3"/>
  <c r="K10" i="3" s="1"/>
  <c r="H10" i="3"/>
  <c r="K9" i="3"/>
  <c r="J9" i="3"/>
  <c r="I9" i="3"/>
  <c r="H9" i="3"/>
  <c r="H8" i="3"/>
  <c r="J8" i="3" s="1"/>
  <c r="J7" i="3"/>
  <c r="I7" i="3"/>
  <c r="K7" i="3" s="1"/>
  <c r="H7" i="3"/>
  <c r="I7" i="1"/>
  <c r="K7" i="1" s="1"/>
  <c r="I9" i="1"/>
  <c r="K9" i="1" s="1"/>
  <c r="H31" i="1"/>
  <c r="H30" i="1"/>
  <c r="J11" i="1" l="1"/>
  <c r="J8" i="1"/>
  <c r="J14" i="1"/>
  <c r="J9" i="1"/>
  <c r="J11" i="3"/>
  <c r="I8" i="3"/>
  <c r="K8" i="3" s="1"/>
  <c r="J13" i="1"/>
  <c r="J7" i="1"/>
  <c r="I6" i="1"/>
  <c r="K6" i="1" s="1"/>
  <c r="J12" i="1"/>
  <c r="J10" i="1"/>
</calcChain>
</file>

<file path=xl/sharedStrings.xml><?xml version="1.0" encoding="utf-8"?>
<sst xmlns="http://schemas.openxmlformats.org/spreadsheetml/2006/main" count="62" uniqueCount="38">
  <si>
    <t>Sr No</t>
  </si>
  <si>
    <t xml:space="preserve"> Name</t>
  </si>
  <si>
    <t>Rate 2%</t>
  </si>
  <si>
    <t>Month</t>
  </si>
  <si>
    <t xml:space="preserve">Monthly Interest </t>
  </si>
  <si>
    <t>Total Interest</t>
  </si>
  <si>
    <t>Day Interest</t>
  </si>
  <si>
    <t>Total Interest Pay</t>
  </si>
  <si>
    <t>Mahi</t>
  </si>
  <si>
    <t>Priya</t>
  </si>
  <si>
    <t>Raman</t>
  </si>
  <si>
    <t>Ali</t>
  </si>
  <si>
    <t>Muskan</t>
  </si>
  <si>
    <t>Ansh</t>
  </si>
  <si>
    <t>Nisha</t>
  </si>
  <si>
    <t>Preeti</t>
  </si>
  <si>
    <t>Simmi</t>
  </si>
  <si>
    <t>Lakshmi</t>
  </si>
  <si>
    <t>Monthly Interest</t>
  </si>
  <si>
    <t>Amount*Rate</t>
  </si>
  <si>
    <t>Monthly  Interest /31</t>
  </si>
  <si>
    <t>Amount + Total Interest</t>
  </si>
  <si>
    <t xml:space="preserve"> Interest Sheet</t>
  </si>
  <si>
    <t>Amount</t>
  </si>
  <si>
    <t>Month * Monthly Interest</t>
  </si>
  <si>
    <t>Interest Sheet</t>
  </si>
  <si>
    <t xml:space="preserve"> </t>
  </si>
  <si>
    <t>sum</t>
  </si>
  <si>
    <t>mins</t>
  </si>
  <si>
    <t>Rahul</t>
  </si>
  <si>
    <t>Aman</t>
  </si>
  <si>
    <t>Kumar</t>
  </si>
  <si>
    <t>Rawat</t>
  </si>
  <si>
    <t>Singh</t>
  </si>
  <si>
    <t>Rahul Kumar</t>
  </si>
  <si>
    <t>Priya Rawat</t>
  </si>
  <si>
    <t>Aman Singh</t>
  </si>
  <si>
    <t>Moblie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</si>
</sst>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\9\1\ 00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2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3" fontId="0" fillId="0" borderId="0" xfId="0" applyNumberFormat="1"/>
    <xf numFmtId="0" fontId="2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A6F23-B59A-4773-9112-5EE5100BA066}">
  <dimension ref="A1"/>
  <sheetViews>
    <sheetView workbookViewId="0">
      <selection activeCell="Q2" sqref="Q2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586AB-51EA-46F3-A072-712A09D8BD4E}">
  <dimension ref="C2:S31"/>
  <sheetViews>
    <sheetView topLeftCell="B2" zoomScale="108" workbookViewId="0">
      <selection activeCell="K6" sqref="K6"/>
    </sheetView>
  </sheetViews>
  <sheetFormatPr defaultRowHeight="14.4" x14ac:dyDescent="0.3"/>
  <cols>
    <col min="3" max="3" width="9.109375" bestFit="1" customWidth="1"/>
    <col min="4" max="4" width="13.109375" bestFit="1" customWidth="1"/>
    <col min="5" max="5" width="12.44140625" bestFit="1" customWidth="1"/>
    <col min="6" max="6" width="13.109375" bestFit="1" customWidth="1"/>
    <col min="7" max="7" width="10.44140625" bestFit="1" customWidth="1"/>
    <col min="8" max="8" width="25.5546875" bestFit="1" customWidth="1"/>
    <col min="9" max="9" width="20" bestFit="1" customWidth="1"/>
    <col min="10" max="10" width="18.5546875" bestFit="1" customWidth="1"/>
    <col min="11" max="11" width="26.44140625" bestFit="1" customWidth="1"/>
    <col min="16" max="16" width="11.88671875" bestFit="1" customWidth="1"/>
    <col min="19" max="19" width="14.88671875" style="16" bestFit="1" customWidth="1"/>
  </cols>
  <sheetData>
    <row r="2" spans="3:19" ht="28.8" thickBot="1" x14ac:dyDescent="0.55000000000000004">
      <c r="F2" s="15" t="s">
        <v>25</v>
      </c>
      <c r="G2" s="15"/>
      <c r="H2" s="15"/>
      <c r="I2" s="15"/>
    </row>
    <row r="4" spans="3:19" ht="18.600000000000001" thickBot="1" x14ac:dyDescent="0.35">
      <c r="C4" s="10" t="s">
        <v>0</v>
      </c>
      <c r="D4" s="10" t="s">
        <v>1</v>
      </c>
      <c r="E4" s="10" t="s">
        <v>23</v>
      </c>
      <c r="F4" s="10" t="s">
        <v>2</v>
      </c>
      <c r="G4" s="10" t="s">
        <v>3</v>
      </c>
      <c r="H4" s="10" t="s">
        <v>4</v>
      </c>
      <c r="I4" s="10" t="s">
        <v>5</v>
      </c>
      <c r="J4" s="10" t="s">
        <v>6</v>
      </c>
      <c r="K4" s="10" t="s">
        <v>7</v>
      </c>
      <c r="S4" s="16" t="s">
        <v>37</v>
      </c>
    </row>
    <row r="5" spans="3:19" ht="18" x14ac:dyDescent="0.3">
      <c r="C5" s="6">
        <v>1</v>
      </c>
      <c r="D5" s="6" t="s">
        <v>8</v>
      </c>
      <c r="E5" s="7">
        <v>20000</v>
      </c>
      <c r="F5" s="8">
        <v>0.02</v>
      </c>
      <c r="G5" s="6">
        <v>12</v>
      </c>
      <c r="H5" s="6">
        <f>E5*F5</f>
        <v>400</v>
      </c>
      <c r="I5" s="6">
        <f>G5*H5</f>
        <v>4800</v>
      </c>
      <c r="J5" s="9">
        <f>H5/31</f>
        <v>12.903225806451612</v>
      </c>
      <c r="K5" s="7">
        <f>E5+I5</f>
        <v>24800</v>
      </c>
      <c r="N5" t="s">
        <v>29</v>
      </c>
      <c r="O5" t="s">
        <v>31</v>
      </c>
      <c r="P5" t="s">
        <v>34</v>
      </c>
    </row>
    <row r="6" spans="3:19" ht="18" x14ac:dyDescent="0.3">
      <c r="C6" s="6">
        <v>2</v>
      </c>
      <c r="D6" s="6" t="s">
        <v>9</v>
      </c>
      <c r="E6" s="7">
        <v>30000</v>
      </c>
      <c r="F6" s="8">
        <v>0.02</v>
      </c>
      <c r="G6" s="6">
        <v>13</v>
      </c>
      <c r="H6" s="6">
        <f t="shared" ref="H6:H14" si="0">E6*F6</f>
        <v>600</v>
      </c>
      <c r="I6" s="6">
        <f t="shared" ref="I6:I14" si="1">G6*H6</f>
        <v>7800</v>
      </c>
      <c r="J6" s="9">
        <f>H6/31</f>
        <v>19.35483870967742</v>
      </c>
      <c r="K6" s="7">
        <f>E6+I6</f>
        <v>37800</v>
      </c>
      <c r="N6" t="s">
        <v>9</v>
      </c>
      <c r="O6" t="s">
        <v>32</v>
      </c>
      <c r="P6" t="s">
        <v>35</v>
      </c>
      <c r="S6" s="16">
        <v>7668785918</v>
      </c>
    </row>
    <row r="7" spans="3:19" ht="18" x14ac:dyDescent="0.3">
      <c r="C7" s="6">
        <v>3</v>
      </c>
      <c r="D7" s="6" t="s">
        <v>10</v>
      </c>
      <c r="E7" s="7">
        <v>45000</v>
      </c>
      <c r="F7" s="8">
        <v>0.02</v>
      </c>
      <c r="G7" s="6">
        <v>12</v>
      </c>
      <c r="H7" s="6">
        <f t="shared" si="0"/>
        <v>900</v>
      </c>
      <c r="I7" s="6">
        <f>G7*H7</f>
        <v>10800</v>
      </c>
      <c r="J7" s="9">
        <f t="shared" ref="J7:J14" si="2">H7/31</f>
        <v>29.032258064516128</v>
      </c>
      <c r="K7" s="7">
        <f t="shared" ref="K7:K13" si="3">E7+I7</f>
        <v>55800</v>
      </c>
      <c r="N7" t="s">
        <v>30</v>
      </c>
      <c r="O7" t="s">
        <v>33</v>
      </c>
      <c r="P7" t="s">
        <v>36</v>
      </c>
    </row>
    <row r="8" spans="3:19" ht="18" x14ac:dyDescent="0.3">
      <c r="C8" s="6">
        <v>4</v>
      </c>
      <c r="D8" s="6" t="s">
        <v>11</v>
      </c>
      <c r="E8" s="7">
        <v>70000</v>
      </c>
      <c r="F8" s="8">
        <v>0.02</v>
      </c>
      <c r="G8" s="6">
        <v>22</v>
      </c>
      <c r="H8" s="6">
        <f t="shared" si="0"/>
        <v>1400</v>
      </c>
      <c r="I8" s="6">
        <f t="shared" si="1"/>
        <v>30800</v>
      </c>
      <c r="J8" s="9">
        <f t="shared" si="2"/>
        <v>45.161290322580648</v>
      </c>
      <c r="K8" s="7">
        <f t="shared" si="3"/>
        <v>100800</v>
      </c>
      <c r="S8" s="16">
        <v>632303</v>
      </c>
    </row>
    <row r="9" spans="3:19" ht="18" x14ac:dyDescent="0.3">
      <c r="C9" s="6">
        <v>5</v>
      </c>
      <c r="D9" s="6" t="s">
        <v>12</v>
      </c>
      <c r="E9" s="7">
        <v>34000</v>
      </c>
      <c r="F9" s="8">
        <v>0.02</v>
      </c>
      <c r="G9" s="6">
        <v>23</v>
      </c>
      <c r="H9" s="6">
        <f t="shared" si="0"/>
        <v>680</v>
      </c>
      <c r="I9" s="6">
        <f t="shared" si="1"/>
        <v>15640</v>
      </c>
      <c r="J9" s="9">
        <f t="shared" si="2"/>
        <v>21.93548387096774</v>
      </c>
      <c r="K9" s="7">
        <f t="shared" si="3"/>
        <v>49640</v>
      </c>
    </row>
    <row r="10" spans="3:19" ht="18" x14ac:dyDescent="0.3">
      <c r="C10" s="6">
        <v>6</v>
      </c>
      <c r="D10" s="6" t="s">
        <v>13</v>
      </c>
      <c r="E10" s="7">
        <v>90000</v>
      </c>
      <c r="F10" s="8">
        <v>0.02</v>
      </c>
      <c r="G10" s="6">
        <v>12</v>
      </c>
      <c r="H10" s="6">
        <f t="shared" si="0"/>
        <v>1800</v>
      </c>
      <c r="I10" s="6">
        <f t="shared" si="1"/>
        <v>21600</v>
      </c>
      <c r="J10" s="9">
        <f t="shared" si="2"/>
        <v>58.064516129032256</v>
      </c>
      <c r="K10" s="7">
        <f t="shared" si="3"/>
        <v>111600</v>
      </c>
    </row>
    <row r="11" spans="3:19" ht="18" x14ac:dyDescent="0.3">
      <c r="C11" s="6">
        <v>7</v>
      </c>
      <c r="D11" s="6" t="s">
        <v>14</v>
      </c>
      <c r="E11" s="7">
        <v>100000</v>
      </c>
      <c r="F11" s="8">
        <v>0.02</v>
      </c>
      <c r="G11" s="6">
        <v>12</v>
      </c>
      <c r="H11" s="6">
        <f t="shared" si="0"/>
        <v>2000</v>
      </c>
      <c r="I11" s="6">
        <f t="shared" si="1"/>
        <v>24000</v>
      </c>
      <c r="J11" s="9">
        <f t="shared" si="2"/>
        <v>64.516129032258064</v>
      </c>
      <c r="K11" s="7">
        <f t="shared" si="3"/>
        <v>124000</v>
      </c>
    </row>
    <row r="12" spans="3:19" ht="18" x14ac:dyDescent="0.3">
      <c r="C12" s="6">
        <v>8</v>
      </c>
      <c r="D12" s="6" t="s">
        <v>15</v>
      </c>
      <c r="E12" s="7">
        <v>23000</v>
      </c>
      <c r="F12" s="8">
        <v>0.02</v>
      </c>
      <c r="G12" s="6">
        <v>7</v>
      </c>
      <c r="H12" s="6">
        <f t="shared" si="0"/>
        <v>460</v>
      </c>
      <c r="I12" s="6">
        <f t="shared" si="1"/>
        <v>3220</v>
      </c>
      <c r="J12" s="9">
        <f t="shared" si="2"/>
        <v>14.838709677419354</v>
      </c>
      <c r="K12" s="7">
        <f t="shared" si="3"/>
        <v>26220</v>
      </c>
    </row>
    <row r="13" spans="3:19" ht="18" x14ac:dyDescent="0.3">
      <c r="C13" s="6">
        <v>9</v>
      </c>
      <c r="D13" s="6" t="s">
        <v>16</v>
      </c>
      <c r="E13" s="7">
        <v>60000</v>
      </c>
      <c r="F13" s="8">
        <v>0.02</v>
      </c>
      <c r="G13" s="6">
        <v>6</v>
      </c>
      <c r="H13" s="6">
        <f t="shared" si="0"/>
        <v>1200</v>
      </c>
      <c r="I13" s="6">
        <f t="shared" si="1"/>
        <v>7200</v>
      </c>
      <c r="J13" s="9">
        <f t="shared" si="2"/>
        <v>38.70967741935484</v>
      </c>
      <c r="K13" s="7">
        <f t="shared" si="3"/>
        <v>67200</v>
      </c>
    </row>
    <row r="14" spans="3:19" ht="18" x14ac:dyDescent="0.3">
      <c r="C14" s="6">
        <v>10</v>
      </c>
      <c r="D14" s="11" t="s">
        <v>17</v>
      </c>
      <c r="E14" s="12">
        <v>20000</v>
      </c>
      <c r="F14" s="8">
        <v>0.02</v>
      </c>
      <c r="G14" s="11">
        <v>11</v>
      </c>
      <c r="H14" s="6">
        <f t="shared" si="0"/>
        <v>400</v>
      </c>
      <c r="I14" s="11">
        <f t="shared" si="1"/>
        <v>4400</v>
      </c>
      <c r="J14" s="13">
        <f t="shared" si="2"/>
        <v>12.903225806451612</v>
      </c>
      <c r="K14" s="12">
        <f>E14+I14</f>
        <v>24400</v>
      </c>
    </row>
    <row r="15" spans="3:19" ht="18" x14ac:dyDescent="0.3">
      <c r="C15" s="6"/>
      <c r="D15" s="6"/>
      <c r="E15" s="7"/>
      <c r="F15" s="8"/>
      <c r="G15" s="6"/>
      <c r="H15" s="6"/>
      <c r="I15" s="6"/>
      <c r="J15" s="9"/>
      <c r="K15" s="14"/>
    </row>
    <row r="16" spans="3:19" x14ac:dyDescent="0.3">
      <c r="C16" t="s">
        <v>26</v>
      </c>
    </row>
    <row r="28" spans="7:8" x14ac:dyDescent="0.3">
      <c r="H28">
        <v>20</v>
      </c>
    </row>
    <row r="29" spans="7:8" x14ac:dyDescent="0.3">
      <c r="H29">
        <v>30</v>
      </c>
    </row>
    <row r="30" spans="7:8" x14ac:dyDescent="0.3">
      <c r="G30" t="s">
        <v>27</v>
      </c>
      <c r="H30">
        <f>H28+H29</f>
        <v>50</v>
      </c>
    </row>
    <row r="31" spans="7:8" x14ac:dyDescent="0.3">
      <c r="G31" t="s">
        <v>28</v>
      </c>
      <c r="H31">
        <f>H28-H29</f>
        <v>-10</v>
      </c>
    </row>
  </sheetData>
  <mergeCells count="1">
    <mergeCell ref="F2:I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F97B4-AB65-4B9E-970A-D5597889C817}">
  <dimension ref="C5:K15"/>
  <sheetViews>
    <sheetView zoomScale="113" zoomScaleNormal="85" workbookViewId="0">
      <selection activeCell="E5" sqref="E5"/>
    </sheetView>
  </sheetViews>
  <sheetFormatPr defaultRowHeight="14.4" x14ac:dyDescent="0.3"/>
  <cols>
    <col min="3" max="3" width="7.109375" bestFit="1" customWidth="1"/>
    <col min="4" max="4" width="9.88671875" bestFit="1" customWidth="1"/>
    <col min="5" max="5" width="9.44140625" bestFit="1" customWidth="1"/>
    <col min="6" max="6" width="9.5546875" bestFit="1" customWidth="1"/>
    <col min="7" max="7" width="7.77734375" bestFit="1" customWidth="1"/>
    <col min="8" max="8" width="19" bestFit="1" customWidth="1"/>
    <col min="9" max="9" width="14.77734375" bestFit="1" customWidth="1"/>
    <col min="10" max="10" width="13.6640625" bestFit="1" customWidth="1"/>
    <col min="11" max="11" width="19.44140625" bestFit="1" customWidth="1"/>
  </cols>
  <sheetData>
    <row r="5" spans="3:11" ht="18.600000000000001" thickBot="1" x14ac:dyDescent="0.35">
      <c r="C5" s="10" t="s">
        <v>0</v>
      </c>
      <c r="D5" s="10" t="s">
        <v>1</v>
      </c>
      <c r="E5" s="10" t="s">
        <v>23</v>
      </c>
      <c r="F5" s="10" t="s">
        <v>2</v>
      </c>
      <c r="G5" s="10" t="s">
        <v>3</v>
      </c>
      <c r="H5" s="10" t="s">
        <v>4</v>
      </c>
      <c r="I5" s="10" t="s">
        <v>5</v>
      </c>
      <c r="J5" s="10" t="s">
        <v>6</v>
      </c>
      <c r="K5" s="10" t="s">
        <v>7</v>
      </c>
    </row>
    <row r="6" spans="3:11" ht="18" x14ac:dyDescent="0.3">
      <c r="C6" s="6">
        <v>1</v>
      </c>
      <c r="D6" s="6" t="s">
        <v>8</v>
      </c>
      <c r="E6" s="7">
        <v>20000</v>
      </c>
      <c r="F6" s="8">
        <v>0.02</v>
      </c>
      <c r="G6" s="6">
        <v>12</v>
      </c>
      <c r="H6" s="6">
        <f>E6*F6</f>
        <v>400</v>
      </c>
      <c r="I6" s="6">
        <f>G6*H6</f>
        <v>4800</v>
      </c>
      <c r="J6" s="9">
        <f>H6/31</f>
        <v>12.903225806451612</v>
      </c>
      <c r="K6" s="7">
        <f>E6+I6</f>
        <v>24800</v>
      </c>
    </row>
    <row r="7" spans="3:11" ht="18" x14ac:dyDescent="0.3">
      <c r="C7" s="6">
        <v>2</v>
      </c>
      <c r="D7" s="6" t="s">
        <v>9</v>
      </c>
      <c r="E7" s="7">
        <v>30000</v>
      </c>
      <c r="F7" s="8">
        <v>0.02</v>
      </c>
      <c r="G7" s="6">
        <v>13</v>
      </c>
      <c r="H7" s="6">
        <f t="shared" ref="H7:H15" si="0">E7*F7</f>
        <v>600</v>
      </c>
      <c r="I7" s="6">
        <f t="shared" ref="I7:I15" si="1">G7*H7</f>
        <v>7800</v>
      </c>
      <c r="J7" s="9">
        <f>H7/31</f>
        <v>19.35483870967742</v>
      </c>
      <c r="K7" s="7">
        <f>E7+I7</f>
        <v>37800</v>
      </c>
    </row>
    <row r="8" spans="3:11" ht="18" x14ac:dyDescent="0.3">
      <c r="C8" s="6">
        <v>3</v>
      </c>
      <c r="D8" s="6" t="s">
        <v>10</v>
      </c>
      <c r="E8" s="7">
        <v>45000</v>
      </c>
      <c r="F8" s="8">
        <v>0.02</v>
      </c>
      <c r="G8" s="6">
        <v>12</v>
      </c>
      <c r="H8" s="6">
        <f t="shared" si="0"/>
        <v>900</v>
      </c>
      <c r="I8" s="6">
        <f>G8*H8</f>
        <v>10800</v>
      </c>
      <c r="J8" s="9">
        <f t="shared" ref="J8:J15" si="2">H8/31</f>
        <v>29.032258064516128</v>
      </c>
      <c r="K8" s="7">
        <f t="shared" ref="K8:K14" si="3">E8+I8</f>
        <v>55800</v>
      </c>
    </row>
    <row r="9" spans="3:11" ht="18" x14ac:dyDescent="0.3">
      <c r="C9" s="6">
        <v>4</v>
      </c>
      <c r="D9" s="6" t="s">
        <v>11</v>
      </c>
      <c r="E9" s="7">
        <v>70000</v>
      </c>
      <c r="F9" s="8">
        <v>0.02</v>
      </c>
      <c r="G9" s="6">
        <v>22</v>
      </c>
      <c r="H9" s="6">
        <f t="shared" si="0"/>
        <v>1400</v>
      </c>
      <c r="I9" s="6">
        <f t="shared" si="1"/>
        <v>30800</v>
      </c>
      <c r="J9" s="9">
        <f t="shared" si="2"/>
        <v>45.161290322580648</v>
      </c>
      <c r="K9" s="7">
        <f t="shared" si="3"/>
        <v>100800</v>
      </c>
    </row>
    <row r="10" spans="3:11" ht="18" x14ac:dyDescent="0.3">
      <c r="C10" s="6">
        <v>5</v>
      </c>
      <c r="D10" s="6" t="s">
        <v>12</v>
      </c>
      <c r="E10" s="7">
        <v>34000</v>
      </c>
      <c r="F10" s="8">
        <v>0.02</v>
      </c>
      <c r="G10" s="6">
        <v>23</v>
      </c>
      <c r="H10" s="6">
        <f t="shared" si="0"/>
        <v>680</v>
      </c>
      <c r="I10" s="6">
        <f t="shared" si="1"/>
        <v>15640</v>
      </c>
      <c r="J10" s="9">
        <f t="shared" si="2"/>
        <v>21.93548387096774</v>
      </c>
      <c r="K10" s="7">
        <f t="shared" si="3"/>
        <v>49640</v>
      </c>
    </row>
    <row r="11" spans="3:11" ht="18" x14ac:dyDescent="0.3">
      <c r="C11" s="6">
        <v>6</v>
      </c>
      <c r="D11" s="6" t="s">
        <v>13</v>
      </c>
      <c r="E11" s="7">
        <v>90000</v>
      </c>
      <c r="F11" s="8">
        <v>0.02</v>
      </c>
      <c r="G11" s="6">
        <v>12</v>
      </c>
      <c r="H11" s="6">
        <f t="shared" si="0"/>
        <v>1800</v>
      </c>
      <c r="I11" s="6">
        <f t="shared" si="1"/>
        <v>21600</v>
      </c>
      <c r="J11" s="9">
        <f t="shared" si="2"/>
        <v>58.064516129032256</v>
      </c>
      <c r="K11" s="7">
        <f t="shared" si="3"/>
        <v>111600</v>
      </c>
    </row>
    <row r="12" spans="3:11" ht="18" x14ac:dyDescent="0.3">
      <c r="C12" s="6">
        <v>7</v>
      </c>
      <c r="D12" s="6" t="s">
        <v>8</v>
      </c>
      <c r="E12" s="7">
        <v>100000</v>
      </c>
      <c r="F12" s="8">
        <v>0.02</v>
      </c>
      <c r="G12" s="6">
        <v>12</v>
      </c>
      <c r="H12" s="6">
        <f t="shared" si="0"/>
        <v>2000</v>
      </c>
      <c r="I12" s="6">
        <f t="shared" si="1"/>
        <v>24000</v>
      </c>
      <c r="J12" s="9">
        <f t="shared" si="2"/>
        <v>64.516129032258064</v>
      </c>
      <c r="K12" s="7">
        <f t="shared" si="3"/>
        <v>124000</v>
      </c>
    </row>
    <row r="13" spans="3:11" ht="18" x14ac:dyDescent="0.3">
      <c r="C13" s="6">
        <v>8</v>
      </c>
      <c r="D13" s="6" t="s">
        <v>15</v>
      </c>
      <c r="E13" s="7">
        <v>23000</v>
      </c>
      <c r="F13" s="8">
        <v>0.02</v>
      </c>
      <c r="G13" s="6">
        <v>7</v>
      </c>
      <c r="H13" s="6">
        <f t="shared" si="0"/>
        <v>460</v>
      </c>
      <c r="I13" s="6">
        <f t="shared" si="1"/>
        <v>3220</v>
      </c>
      <c r="J13" s="9">
        <f t="shared" si="2"/>
        <v>14.838709677419354</v>
      </c>
      <c r="K13" s="7">
        <f t="shared" si="3"/>
        <v>26220</v>
      </c>
    </row>
    <row r="14" spans="3:11" ht="18" x14ac:dyDescent="0.3">
      <c r="C14" s="6">
        <v>9</v>
      </c>
      <c r="D14" s="6" t="s">
        <v>16</v>
      </c>
      <c r="E14" s="7">
        <v>60000</v>
      </c>
      <c r="F14" s="8">
        <v>0.02</v>
      </c>
      <c r="G14" s="6">
        <v>6</v>
      </c>
      <c r="H14" s="6">
        <f t="shared" si="0"/>
        <v>1200</v>
      </c>
      <c r="I14" s="6">
        <f t="shared" si="1"/>
        <v>7200</v>
      </c>
      <c r="J14" s="9">
        <f t="shared" si="2"/>
        <v>38.70967741935484</v>
      </c>
      <c r="K14" s="7">
        <f t="shared" si="3"/>
        <v>67200</v>
      </c>
    </row>
    <row r="15" spans="3:11" ht="18" x14ac:dyDescent="0.3">
      <c r="C15" s="11">
        <v>10</v>
      </c>
      <c r="D15" s="11" t="s">
        <v>17</v>
      </c>
      <c r="E15" s="12">
        <v>20000</v>
      </c>
      <c r="F15" s="8">
        <v>0.02</v>
      </c>
      <c r="G15" s="11">
        <v>11</v>
      </c>
      <c r="H15" s="6">
        <f t="shared" si="0"/>
        <v>400</v>
      </c>
      <c r="I15" s="11">
        <f t="shared" si="1"/>
        <v>4400</v>
      </c>
      <c r="J15" s="13">
        <f t="shared" si="2"/>
        <v>12.903225806451612</v>
      </c>
      <c r="K15" s="12">
        <f>E15+I15</f>
        <v>24400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36043-35BB-4B12-993B-968A0DFD6F20}">
  <dimension ref="D3:F12"/>
  <sheetViews>
    <sheetView tabSelected="1" topLeftCell="A2" workbookViewId="0">
      <selection activeCell="E11" sqref="E11"/>
    </sheetView>
  </sheetViews>
  <sheetFormatPr defaultRowHeight="28.2" x14ac:dyDescent="0.5"/>
  <cols>
    <col min="4" max="4" width="31" style="1" bestFit="1" customWidth="1"/>
    <col min="5" max="5" width="48" style="1" bestFit="1" customWidth="1"/>
  </cols>
  <sheetData>
    <row r="3" spans="4:6" ht="28.8" thickBot="1" x14ac:dyDescent="0.55000000000000004">
      <c r="D3" s="15" t="s">
        <v>22</v>
      </c>
      <c r="E3" s="15"/>
    </row>
    <row r="5" spans="4:6" ht="28.8" thickBot="1" x14ac:dyDescent="0.35">
      <c r="D5" s="4" t="s">
        <v>18</v>
      </c>
      <c r="E5" s="2" t="s">
        <v>19</v>
      </c>
    </row>
    <row r="6" spans="4:6" ht="28.8" thickBot="1" x14ac:dyDescent="0.35">
      <c r="D6" s="4" t="s">
        <v>5</v>
      </c>
      <c r="E6" s="2" t="s">
        <v>24</v>
      </c>
    </row>
    <row r="7" spans="4:6" ht="28.8" thickBot="1" x14ac:dyDescent="0.35">
      <c r="D7" s="5" t="s">
        <v>6</v>
      </c>
      <c r="E7" s="3" t="s">
        <v>20</v>
      </c>
    </row>
    <row r="8" spans="4:6" ht="28.8" thickBot="1" x14ac:dyDescent="0.35">
      <c r="D8" s="4" t="s">
        <v>7</v>
      </c>
      <c r="E8" s="2" t="s">
        <v>21</v>
      </c>
    </row>
    <row r="12" spans="4:6" x14ac:dyDescent="0.5">
      <c r="F12" t="s">
        <v>26</v>
      </c>
    </row>
  </sheetData>
  <mergeCells count="1">
    <mergeCell ref="D3:E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Interest Sheet</vt:lpstr>
      <vt:lpstr>Sheet1</vt:lpstr>
      <vt:lpstr>Formula for Interest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Aamna</dc:creator>
  <cp:lastModifiedBy>ARJUN INDORAM</cp:lastModifiedBy>
  <dcterms:created xsi:type="dcterms:W3CDTF">2023-05-30T06:21:20Z</dcterms:created>
  <dcterms:modified xsi:type="dcterms:W3CDTF">2026-03-02T11:42:54Z</dcterms:modified>
</cp:coreProperties>
</file>