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4" documentId="11_F25DC773A252ABDACC10488E51585AD85BDE58E6" xr6:coauthVersionLast="47" xr6:coauthVersionMax="47" xr10:uidLastSave="{CBB4D89F-6E94-4074-B383-EA2862FEB4ED}"/>
  <bookViews>
    <workbookView xWindow="-108" yWindow="-108" windowWidth="23256" windowHeight="12456" xr2:uid="{00000000-000D-0000-FFFF-FFFF00000000}"/>
  </bookViews>
  <sheets>
    <sheet name="Home sheet" sheetId="2" r:id="rId1"/>
    <sheet name="Loan 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J6" i="3"/>
  <c r="K6" i="3"/>
  <c r="L6" i="3"/>
  <c r="I7" i="3"/>
  <c r="J7" i="3"/>
  <c r="K7" i="3"/>
  <c r="L7" i="3" s="1"/>
  <c r="I8" i="3"/>
  <c r="K8" i="3" s="1"/>
  <c r="L8" i="3" s="1"/>
  <c r="J8" i="3"/>
  <c r="I9" i="3"/>
  <c r="J9" i="3"/>
  <c r="K9" i="3"/>
  <c r="L9" i="3"/>
  <c r="I10" i="3"/>
  <c r="J10" i="3"/>
  <c r="K10" i="3"/>
  <c r="L10" i="3" s="1"/>
  <c r="I11" i="3"/>
  <c r="K11" i="3" s="1"/>
  <c r="L11" i="3" s="1"/>
  <c r="J11" i="3"/>
  <c r="I12" i="3"/>
  <c r="J12" i="3"/>
  <c r="K12" i="3"/>
  <c r="L12" i="3"/>
  <c r="I13" i="3"/>
  <c r="J13" i="3"/>
  <c r="K13" i="3"/>
  <c r="L13" i="3" s="1"/>
  <c r="I14" i="3"/>
  <c r="K14" i="3" s="1"/>
  <c r="L14" i="3" s="1"/>
  <c r="J14" i="3"/>
  <c r="I15" i="3"/>
  <c r="J15" i="3"/>
  <c r="K15" i="3"/>
  <c r="L15" i="3"/>
</calcChain>
</file>

<file path=xl/sharedStrings.xml><?xml version="1.0" encoding="utf-8"?>
<sst xmlns="http://schemas.openxmlformats.org/spreadsheetml/2006/main" count="51" uniqueCount="36">
  <si>
    <t>Interest With Installment * Month</t>
  </si>
  <si>
    <t>Total Amount</t>
  </si>
  <si>
    <t>Installment + Interest Installment</t>
  </si>
  <si>
    <t>Interest With Installlment</t>
  </si>
  <si>
    <t>Installment *2%</t>
  </si>
  <si>
    <t>Interest Installment</t>
  </si>
  <si>
    <t>Amount/Month</t>
  </si>
  <si>
    <t>Installment</t>
  </si>
  <si>
    <t>Formula For Loan Sheet</t>
  </si>
  <si>
    <t>Bike</t>
  </si>
  <si>
    <t>ICICI Bank</t>
  </si>
  <si>
    <t>Abhi</t>
  </si>
  <si>
    <t>House</t>
  </si>
  <si>
    <t>HDFC  Bank</t>
  </si>
  <si>
    <t>Ali</t>
  </si>
  <si>
    <t>Marriage</t>
  </si>
  <si>
    <t>SBI Bank</t>
  </si>
  <si>
    <t>Priya</t>
  </si>
  <si>
    <t>ICICI</t>
  </si>
  <si>
    <t>Rahul</t>
  </si>
  <si>
    <t>Gold</t>
  </si>
  <si>
    <t>Muskan</t>
  </si>
  <si>
    <t>Devid</t>
  </si>
  <si>
    <t>Noor</t>
  </si>
  <si>
    <t>Mayank</t>
  </si>
  <si>
    <t>Anita</t>
  </si>
  <si>
    <t>Mahi</t>
  </si>
  <si>
    <t>Interest With Installment</t>
  </si>
  <si>
    <t>Month</t>
  </si>
  <si>
    <t>Amount</t>
  </si>
  <si>
    <t>Reason</t>
  </si>
  <si>
    <t>Bank Name</t>
  </si>
  <si>
    <t>Name</t>
  </si>
  <si>
    <t>Serial No</t>
  </si>
  <si>
    <t>Loan Sheet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</si>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</sst>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9858-4BA5-4036-BFEE-35DC470C4A6B}">
  <dimension ref="A1"/>
  <sheetViews>
    <sheetView tabSelected="1" topLeftCell="A38" workbookViewId="0">
      <selection activeCell="E19" sqref="E1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3AEB-4E84-42A0-A36B-556655316C06}">
  <sheetPr>
    <tabColor theme="1"/>
  </sheetPr>
  <dimension ref="A1:L30"/>
  <sheetViews>
    <sheetView topLeftCell="A13" workbookViewId="0">
      <selection activeCell="F30" sqref="F30"/>
    </sheetView>
  </sheetViews>
  <sheetFormatPr defaultRowHeight="14.4" x14ac:dyDescent="0.3"/>
  <cols>
    <col min="3" max="3" width="12.5546875" bestFit="1" customWidth="1"/>
    <col min="4" max="4" width="10.6640625" bestFit="1" customWidth="1"/>
    <col min="5" max="5" width="17" bestFit="1" customWidth="1"/>
    <col min="6" max="6" width="39" bestFit="1" customWidth="1"/>
    <col min="7" max="7" width="51.33203125" bestFit="1" customWidth="1"/>
    <col min="8" max="8" width="9.109375" bestFit="1" customWidth="1"/>
    <col min="9" max="9" width="14.5546875" bestFit="1" customWidth="1"/>
    <col min="10" max="10" width="24.33203125" bestFit="1" customWidth="1"/>
    <col min="11" max="11" width="31.109375" bestFit="1" customWidth="1"/>
    <col min="12" max="12" width="18.33203125" bestFit="1" customWidth="1"/>
  </cols>
  <sheetData>
    <row r="1" spans="1:12" x14ac:dyDescent="0.3">
      <c r="A1" t="s">
        <v>35</v>
      </c>
    </row>
    <row r="2" spans="1:12" x14ac:dyDescent="0.3">
      <c r="F2" s="12" t="s">
        <v>34</v>
      </c>
      <c r="G2" s="12"/>
      <c r="H2" s="12"/>
      <c r="I2" s="12"/>
      <c r="J2" s="12"/>
    </row>
    <row r="3" spans="1:12" ht="15" thickBot="1" x14ac:dyDescent="0.35">
      <c r="F3" s="11"/>
      <c r="G3" s="11"/>
      <c r="H3" s="11"/>
      <c r="I3" s="11"/>
      <c r="J3" s="11"/>
    </row>
    <row r="5" spans="1:12" ht="21.6" thickBot="1" x14ac:dyDescent="0.35">
      <c r="C5" s="10" t="s">
        <v>33</v>
      </c>
      <c r="D5" s="10" t="s">
        <v>32</v>
      </c>
      <c r="E5" s="10" t="s">
        <v>31</v>
      </c>
      <c r="F5" s="10" t="s">
        <v>30</v>
      </c>
      <c r="G5" s="10" t="s">
        <v>29</v>
      </c>
      <c r="H5" s="10" t="s">
        <v>28</v>
      </c>
      <c r="I5" s="10" t="s">
        <v>7</v>
      </c>
      <c r="J5" s="10" t="s">
        <v>5</v>
      </c>
      <c r="K5" s="10" t="s">
        <v>27</v>
      </c>
      <c r="L5" s="10" t="s">
        <v>1</v>
      </c>
    </row>
    <row r="6" spans="1:12" ht="21" x14ac:dyDescent="0.3">
      <c r="C6" s="7">
        <v>1</v>
      </c>
      <c r="D6" s="7" t="s">
        <v>26</v>
      </c>
      <c r="E6" s="7" t="s">
        <v>18</v>
      </c>
      <c r="F6" s="7" t="s">
        <v>12</v>
      </c>
      <c r="G6" s="8">
        <v>2000000</v>
      </c>
      <c r="H6" s="7">
        <v>12</v>
      </c>
      <c r="I6" s="9">
        <f>ROUND(G6/H6,0)</f>
        <v>166667</v>
      </c>
      <c r="J6" s="7">
        <f>ROUND(I6*2%,0)</f>
        <v>3333</v>
      </c>
      <c r="K6" s="9">
        <f>I6+J6</f>
        <v>170000</v>
      </c>
      <c r="L6" s="7">
        <f>K6*H6</f>
        <v>2040000</v>
      </c>
    </row>
    <row r="7" spans="1:12" ht="21" x14ac:dyDescent="0.3">
      <c r="C7" s="7">
        <v>2</v>
      </c>
      <c r="D7" s="7" t="s">
        <v>25</v>
      </c>
      <c r="E7" s="7" t="s">
        <v>16</v>
      </c>
      <c r="F7" s="7" t="s">
        <v>20</v>
      </c>
      <c r="G7" s="8">
        <v>3000000</v>
      </c>
      <c r="H7" s="7">
        <v>34</v>
      </c>
      <c r="I7" s="7">
        <f>ROUND(G7/H7,0)</f>
        <v>88235</v>
      </c>
      <c r="J7" s="7">
        <f>ROUND(I7*2%,0)</f>
        <v>1765</v>
      </c>
      <c r="K7" s="7">
        <f>I7+J7</f>
        <v>90000</v>
      </c>
      <c r="L7" s="7">
        <f>K7*H7</f>
        <v>3060000</v>
      </c>
    </row>
    <row r="8" spans="1:12" ht="21" x14ac:dyDescent="0.3">
      <c r="C8" s="7">
        <v>3</v>
      </c>
      <c r="D8" s="7" t="s">
        <v>24</v>
      </c>
      <c r="E8" s="7" t="s">
        <v>13</v>
      </c>
      <c r="F8" s="7" t="s">
        <v>9</v>
      </c>
      <c r="G8" s="8">
        <v>5000000</v>
      </c>
      <c r="H8" s="7">
        <v>56</v>
      </c>
      <c r="I8" s="7">
        <f>ROUND(G8/H8,0)</f>
        <v>89286</v>
      </c>
      <c r="J8" s="7">
        <f>ROUND(I8*2%,0)</f>
        <v>1786</v>
      </c>
      <c r="K8" s="7">
        <f>I8+J8</f>
        <v>91072</v>
      </c>
      <c r="L8" s="7">
        <f>K8*H8</f>
        <v>5100032</v>
      </c>
    </row>
    <row r="9" spans="1:12" ht="21" x14ac:dyDescent="0.3">
      <c r="C9" s="7">
        <v>4</v>
      </c>
      <c r="D9" s="7" t="s">
        <v>23</v>
      </c>
      <c r="E9" s="7" t="s">
        <v>18</v>
      </c>
      <c r="F9" s="7" t="s">
        <v>15</v>
      </c>
      <c r="G9" s="8">
        <v>3400000</v>
      </c>
      <c r="H9" s="7">
        <v>12</v>
      </c>
      <c r="I9" s="7">
        <f>ROUND(G9/H9,0)</f>
        <v>283333</v>
      </c>
      <c r="J9" s="7">
        <f>ROUND(I9*2%,0)</f>
        <v>5667</v>
      </c>
      <c r="K9" s="7">
        <f>I9+J9</f>
        <v>289000</v>
      </c>
      <c r="L9" s="7">
        <f>K9*H9</f>
        <v>3468000</v>
      </c>
    </row>
    <row r="10" spans="1:12" ht="21" x14ac:dyDescent="0.3">
      <c r="C10" s="7">
        <v>5</v>
      </c>
      <c r="D10" s="7" t="s">
        <v>22</v>
      </c>
      <c r="E10" s="7" t="s">
        <v>16</v>
      </c>
      <c r="F10" s="7" t="s">
        <v>12</v>
      </c>
      <c r="G10" s="8">
        <v>2000000</v>
      </c>
      <c r="H10" s="7">
        <v>23</v>
      </c>
      <c r="I10" s="7">
        <f>ROUND(G10/H10,0)</f>
        <v>86957</v>
      </c>
      <c r="J10" s="7">
        <f>ROUND(I10*2%,0)</f>
        <v>1739</v>
      </c>
      <c r="K10" s="7">
        <f>I10+J10</f>
        <v>88696</v>
      </c>
      <c r="L10" s="7">
        <f>K10*H10</f>
        <v>2040008</v>
      </c>
    </row>
    <row r="11" spans="1:12" ht="21" x14ac:dyDescent="0.3">
      <c r="C11" s="7">
        <v>6</v>
      </c>
      <c r="D11" s="7" t="s">
        <v>21</v>
      </c>
      <c r="E11" s="7" t="s">
        <v>13</v>
      </c>
      <c r="F11" s="7" t="s">
        <v>20</v>
      </c>
      <c r="G11" s="8">
        <v>3000000</v>
      </c>
      <c r="H11" s="7">
        <v>45</v>
      </c>
      <c r="I11" s="7">
        <f>ROUND(G11/H11,0)</f>
        <v>66667</v>
      </c>
      <c r="J11" s="7">
        <f>ROUND(I11*2%,0)</f>
        <v>1333</v>
      </c>
      <c r="K11" s="7">
        <f>I11+J11</f>
        <v>68000</v>
      </c>
      <c r="L11" s="7">
        <f>K11*H11</f>
        <v>3060000</v>
      </c>
    </row>
    <row r="12" spans="1:12" ht="21" x14ac:dyDescent="0.3">
      <c r="C12" s="7">
        <v>7</v>
      </c>
      <c r="D12" s="7" t="s">
        <v>19</v>
      </c>
      <c r="E12" s="7" t="s">
        <v>18</v>
      </c>
      <c r="F12" s="7" t="s">
        <v>9</v>
      </c>
      <c r="G12" s="8">
        <v>5000000</v>
      </c>
      <c r="H12" s="7">
        <v>23</v>
      </c>
      <c r="I12" s="7">
        <f>ROUND(G12/H12,0)</f>
        <v>217391</v>
      </c>
      <c r="J12" s="7">
        <f>ROUND(I12*2%,0)</f>
        <v>4348</v>
      </c>
      <c r="K12" s="7">
        <f>I12+J12</f>
        <v>221739</v>
      </c>
      <c r="L12" s="7">
        <f>K12*H12</f>
        <v>5099997</v>
      </c>
    </row>
    <row r="13" spans="1:12" ht="21" x14ac:dyDescent="0.3">
      <c r="C13" s="7">
        <v>8</v>
      </c>
      <c r="D13" s="7" t="s">
        <v>17</v>
      </c>
      <c r="E13" s="7" t="s">
        <v>16</v>
      </c>
      <c r="F13" s="7" t="s">
        <v>15</v>
      </c>
      <c r="G13" s="8">
        <v>3400000</v>
      </c>
      <c r="H13" s="7">
        <v>23</v>
      </c>
      <c r="I13" s="7">
        <f>ROUND(G13/H13,0)</f>
        <v>147826</v>
      </c>
      <c r="J13" s="7">
        <f>ROUND(I13*2%,0)</f>
        <v>2957</v>
      </c>
      <c r="K13" s="7">
        <f>I13+J13</f>
        <v>150783</v>
      </c>
      <c r="L13" s="7">
        <f>K13*H13</f>
        <v>3468009</v>
      </c>
    </row>
    <row r="14" spans="1:12" ht="21" x14ac:dyDescent="0.3">
      <c r="C14" s="7">
        <v>9</v>
      </c>
      <c r="D14" s="7" t="s">
        <v>14</v>
      </c>
      <c r="E14" s="7" t="s">
        <v>13</v>
      </c>
      <c r="F14" s="7" t="s">
        <v>12</v>
      </c>
      <c r="G14" s="8">
        <v>3000000</v>
      </c>
      <c r="H14" s="7">
        <v>34</v>
      </c>
      <c r="I14" s="7">
        <f>ROUND(G14/H14,0)</f>
        <v>88235</v>
      </c>
      <c r="J14" s="7">
        <f>ROUND(I14*2%,0)</f>
        <v>1765</v>
      </c>
      <c r="K14" s="7">
        <f>I14+J14</f>
        <v>90000</v>
      </c>
      <c r="L14" s="7">
        <f>K14*H14</f>
        <v>3060000</v>
      </c>
    </row>
    <row r="15" spans="1:12" ht="21.6" thickBot="1" x14ac:dyDescent="0.35">
      <c r="C15" s="5">
        <v>10</v>
      </c>
      <c r="D15" s="5" t="s">
        <v>11</v>
      </c>
      <c r="E15" s="5" t="s">
        <v>10</v>
      </c>
      <c r="F15" s="5" t="s">
        <v>9</v>
      </c>
      <c r="G15" s="6">
        <v>6500000</v>
      </c>
      <c r="H15" s="5">
        <v>34</v>
      </c>
      <c r="I15" s="5">
        <f>ROUND(G15/H15,0)</f>
        <v>191176</v>
      </c>
      <c r="J15" s="5">
        <f>ROUND(I15*2%,0)</f>
        <v>3824</v>
      </c>
      <c r="K15" s="5">
        <f>I15+J15</f>
        <v>195000</v>
      </c>
      <c r="L15" s="5">
        <f>K15*H15</f>
        <v>6630000</v>
      </c>
    </row>
    <row r="25" spans="6:7" ht="23.4" thickBot="1" x14ac:dyDescent="0.45">
      <c r="F25" s="4" t="s">
        <v>8</v>
      </c>
      <c r="G25" s="4"/>
    </row>
    <row r="27" spans="6:7" ht="25.2" x14ac:dyDescent="0.3">
      <c r="F27" s="3" t="s">
        <v>7</v>
      </c>
      <c r="G27" s="3" t="s">
        <v>6</v>
      </c>
    </row>
    <row r="28" spans="6:7" ht="25.2" x14ac:dyDescent="0.3">
      <c r="F28" s="2" t="s">
        <v>5</v>
      </c>
      <c r="G28" s="2" t="s">
        <v>4</v>
      </c>
    </row>
    <row r="29" spans="6:7" ht="25.2" x14ac:dyDescent="0.3">
      <c r="F29" s="2" t="s">
        <v>3</v>
      </c>
      <c r="G29" s="2" t="s">
        <v>2</v>
      </c>
    </row>
    <row r="30" spans="6:7" ht="25.8" thickBot="1" x14ac:dyDescent="0.35">
      <c r="F30" s="1" t="s">
        <v>1</v>
      </c>
      <c r="G30" s="1" t="s">
        <v>0</v>
      </c>
    </row>
  </sheetData>
  <mergeCells count="2">
    <mergeCell ref="F2:J3"/>
    <mergeCell ref="F2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sheet</vt:lpstr>
      <vt:lpstr>Loan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INDORAM</cp:lastModifiedBy>
  <dcterms:created xsi:type="dcterms:W3CDTF">2015-06-05T18:17:20Z</dcterms:created>
  <dcterms:modified xsi:type="dcterms:W3CDTF">2025-09-09T07:32:39Z</dcterms:modified>
</cp:coreProperties>
</file>