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889" documentId="8_{0335883A-7F82-48DD-BB80-654890476835}" xr6:coauthVersionLast="47" xr6:coauthVersionMax="47" xr10:uidLastSave="{65A8F892-D554-403E-BC25-32E0DDCDFB32}"/>
  <bookViews>
    <workbookView xWindow="-108" yWindow="-108" windowWidth="23256" windowHeight="12456" firstSheet="5" activeTab="12" xr2:uid="{2A52DD9B-EC23-43FA-8D00-D5E2A7AB54DE}"/>
  </bookViews>
  <sheets>
    <sheet name="Filter Formula" sheetId="1" state="hidden" r:id="rId1"/>
    <sheet name="Dec-2025" sheetId="10" r:id="rId2"/>
    <sheet name="Nov-2025" sheetId="2" r:id="rId3"/>
    <sheet name="Oct-2025" sheetId="3" r:id="rId4"/>
    <sheet name="Sept-2025" sheetId="5" r:id="rId5"/>
    <sheet name="Aug-2025" sheetId="4" r:id="rId6"/>
    <sheet name="Sheet1" sheetId="11" r:id="rId7"/>
    <sheet name="Sheet2" sheetId="12" r:id="rId8"/>
    <sheet name="Jul-2025" sheetId="6" r:id="rId9"/>
    <sheet name="Jun-2025" sheetId="7" r:id="rId10"/>
    <sheet name="May-2025" sheetId="8" r:id="rId11"/>
    <sheet name="Apr-2025" sheetId="9" r:id="rId12"/>
    <sheet name="Sheet2 (2)" sheetId="13" r:id="rId13"/>
  </sheets>
  <definedNames>
    <definedName name="_xlnm._FilterDatabase" localSheetId="0" hidden="1">'Filter Formula'!$L$4:$L$4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3" l="1" a="1"/>
  <c r="L4" i="13" s="1"/>
  <c r="M4" i="12"/>
  <c r="M5" i="12"/>
  <c r="M6" i="12"/>
  <c r="M7" i="12"/>
  <c r="M8" i="12"/>
  <c r="M9" i="12"/>
  <c r="M10" i="12"/>
  <c r="M11" i="12"/>
  <c r="M12" i="12"/>
  <c r="M13" i="12"/>
  <c r="M3" i="12"/>
  <c r="L4" i="12"/>
  <c r="L5" i="12"/>
  <c r="L6" i="12"/>
  <c r="L7" i="12"/>
  <c r="L8" i="12"/>
  <c r="L9" i="12"/>
  <c r="L10" i="12"/>
  <c r="L11" i="12"/>
  <c r="L12" i="12"/>
  <c r="L13" i="12"/>
  <c r="L3" i="12"/>
  <c r="K4" i="12"/>
  <c r="K5" i="12"/>
  <c r="K6" i="12"/>
  <c r="K7" i="12"/>
  <c r="K8" i="12"/>
  <c r="K9" i="12"/>
  <c r="K10" i="12"/>
  <c r="K11" i="12"/>
  <c r="K12" i="12"/>
  <c r="K13" i="12"/>
  <c r="K3" i="12"/>
  <c r="J4" i="12"/>
  <c r="J5" i="12"/>
  <c r="J6" i="12"/>
  <c r="J7" i="12"/>
  <c r="J8" i="12"/>
  <c r="J9" i="12"/>
  <c r="J10" i="12"/>
  <c r="J11" i="12"/>
  <c r="J12" i="12"/>
  <c r="J13" i="12"/>
  <c r="J3" i="12"/>
  <c r="L7" i="11" l="1" a="1"/>
  <c r="L7" i="11" s="1"/>
  <c r="R112" i="2"/>
  <c r="R116" i="2"/>
  <c r="R114" i="2"/>
  <c r="R105" i="2"/>
  <c r="Q95" i="2"/>
  <c r="O96" i="2"/>
  <c r="R103" i="2"/>
  <c r="R101" i="2"/>
  <c r="L95" i="2"/>
  <c r="M95" i="2"/>
  <c r="N95" i="2"/>
  <c r="O95" i="2"/>
  <c r="O49" i="2"/>
  <c r="L48" i="2"/>
  <c r="K48" i="2"/>
  <c r="O12" i="2"/>
  <c r="P48" i="2"/>
  <c r="Q12" i="2"/>
  <c r="O19" i="2"/>
  <c r="Q19" i="2" s="1"/>
  <c r="M15" i="2"/>
  <c r="N15" i="2"/>
  <c r="N16" i="2"/>
  <c r="M16" i="2"/>
  <c r="M11" i="2"/>
  <c r="N11" i="2"/>
  <c r="O13" i="2"/>
  <c r="Q13" i="2" s="1"/>
  <c r="M14" i="2"/>
  <c r="N14" i="2"/>
  <c r="O16" i="2"/>
  <c r="M17" i="2"/>
  <c r="N17" i="2"/>
  <c r="M18" i="2"/>
  <c r="N18" i="2"/>
  <c r="M20" i="2"/>
  <c r="N20" i="2"/>
  <c r="M21" i="2"/>
  <c r="N21" i="2"/>
  <c r="O22" i="2"/>
  <c r="Q22" i="2" s="1"/>
  <c r="M23" i="2"/>
  <c r="N23" i="2"/>
  <c r="O24" i="2"/>
  <c r="Q24" i="2" s="1"/>
  <c r="M25" i="2"/>
  <c r="N25" i="2"/>
  <c r="M26" i="2"/>
  <c r="N26" i="2"/>
  <c r="M27" i="2"/>
  <c r="N27" i="2"/>
  <c r="M28" i="2"/>
  <c r="N28" i="2"/>
  <c r="M29" i="2"/>
  <c r="N29" i="2"/>
  <c r="M30" i="2"/>
  <c r="N30" i="2"/>
  <c r="O31" i="2"/>
  <c r="Q31" i="2" s="1"/>
  <c r="O32" i="2"/>
  <c r="Q32" i="2" s="1"/>
  <c r="O33" i="2"/>
  <c r="Q33" i="2" s="1"/>
  <c r="M34" i="2"/>
  <c r="N34" i="2"/>
  <c r="M35" i="2"/>
  <c r="N35" i="2"/>
  <c r="M36" i="2"/>
  <c r="N36" i="2"/>
  <c r="M37" i="2"/>
  <c r="N37" i="2"/>
  <c r="M38" i="2"/>
  <c r="N38" i="2"/>
  <c r="M39" i="2"/>
  <c r="N39" i="2"/>
  <c r="M40" i="2"/>
  <c r="N40" i="2"/>
  <c r="M41" i="2"/>
  <c r="N41" i="2"/>
  <c r="M42" i="2"/>
  <c r="N42" i="2"/>
  <c r="O42" i="2"/>
  <c r="M43" i="2"/>
  <c r="N43" i="2"/>
  <c r="O43" i="2"/>
  <c r="M44" i="2"/>
  <c r="N44" i="2"/>
  <c r="O44" i="2"/>
  <c r="M45" i="2"/>
  <c r="N45" i="2"/>
  <c r="O45" i="2"/>
  <c r="M46" i="2"/>
  <c r="N46" i="2"/>
  <c r="O46" i="2"/>
  <c r="M47" i="2"/>
  <c r="N47" i="2"/>
  <c r="O47" i="2"/>
  <c r="N10" i="2"/>
  <c r="N48" i="2" s="1"/>
  <c r="M10" i="2"/>
  <c r="P95" i="2"/>
  <c r="O65" i="2"/>
  <c r="Q65" i="2" s="1"/>
  <c r="O67" i="2"/>
  <c r="Q67" i="2" s="1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64" i="2"/>
  <c r="N66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M66" i="2"/>
  <c r="M68" i="2"/>
  <c r="Q68" i="2" s="1"/>
  <c r="M69" i="2"/>
  <c r="Q69" i="2" s="1"/>
  <c r="M70" i="2"/>
  <c r="Q70" i="2" s="1"/>
  <c r="M71" i="2"/>
  <c r="Q71" i="2" s="1"/>
  <c r="M72" i="2"/>
  <c r="Q72" i="2" s="1"/>
  <c r="M73" i="2"/>
  <c r="Q73" i="2" s="1"/>
  <c r="M74" i="2"/>
  <c r="Q74" i="2" s="1"/>
  <c r="M75" i="2"/>
  <c r="Q75" i="2" s="1"/>
  <c r="M76" i="2"/>
  <c r="Q76" i="2" s="1"/>
  <c r="M77" i="2"/>
  <c r="Q77" i="2" s="1"/>
  <c r="M78" i="2"/>
  <c r="Q78" i="2" s="1"/>
  <c r="M79" i="2"/>
  <c r="Q79" i="2" s="1"/>
  <c r="M80" i="2"/>
  <c r="Q80" i="2" s="1"/>
  <c r="M81" i="2"/>
  <c r="Q81" i="2" s="1"/>
  <c r="M82" i="2"/>
  <c r="Q82" i="2" s="1"/>
  <c r="M83" i="2"/>
  <c r="Q83" i="2" s="1"/>
  <c r="M84" i="2"/>
  <c r="Q84" i="2" s="1"/>
  <c r="M85" i="2"/>
  <c r="Q85" i="2" s="1"/>
  <c r="M86" i="2"/>
  <c r="Q86" i="2" s="1"/>
  <c r="M87" i="2"/>
  <c r="Q87" i="2" s="1"/>
  <c r="M88" i="2"/>
  <c r="Q88" i="2" s="1"/>
  <c r="M89" i="2"/>
  <c r="Q89" i="2" s="1"/>
  <c r="M90" i="2"/>
  <c r="Q90" i="2" s="1"/>
  <c r="M91" i="2"/>
  <c r="Q91" i="2" s="1"/>
  <c r="M92" i="2"/>
  <c r="Q92" i="2" s="1"/>
  <c r="M93" i="2"/>
  <c r="Q93" i="2" s="1"/>
  <c r="M94" i="2"/>
  <c r="Q94" i="2" s="1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70" i="2"/>
  <c r="K64" i="2"/>
  <c r="K65" i="2"/>
  <c r="K66" i="2"/>
  <c r="K67" i="2"/>
  <c r="K68" i="2"/>
  <c r="K69" i="2"/>
  <c r="H6" i="1" a="1"/>
  <c r="H6" i="1"/>
  <c r="K95" i="2" l="1"/>
  <c r="Q66" i="2"/>
  <c r="Q64" i="2"/>
  <c r="M48" i="2"/>
  <c r="Q10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0" i="2"/>
  <c r="Q29" i="2"/>
  <c r="Q28" i="2"/>
  <c r="Q27" i="2"/>
  <c r="Q26" i="2"/>
  <c r="Q25" i="2"/>
  <c r="Q23" i="2"/>
  <c r="Q21" i="2"/>
  <c r="Q20" i="2"/>
  <c r="Q18" i="2"/>
  <c r="Q17" i="2"/>
  <c r="O48" i="2"/>
  <c r="Q14" i="2"/>
  <c r="Q11" i="2"/>
  <c r="Q15" i="2"/>
  <c r="Q16" i="2"/>
  <c r="Q4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<sst xmlns="http://schemas.openxmlformats.org/spreadsheetml/2006/main" count="1502" uniqueCount="580">
  <si>
    <t>Filter Function</t>
  </si>
  <si>
    <t>Name</t>
  </si>
  <si>
    <t>City</t>
  </si>
  <si>
    <t>Department</t>
  </si>
  <si>
    <t>Basic Salary</t>
  </si>
  <si>
    <t>Mahi</t>
  </si>
  <si>
    <t>Faridabad</t>
  </si>
  <si>
    <t>Computer Operator</t>
  </si>
  <si>
    <t>Priya</t>
  </si>
  <si>
    <t>Gurgaon</t>
  </si>
  <si>
    <t>Accountant</t>
  </si>
  <si>
    <t>Rahul</t>
  </si>
  <si>
    <t>Delhi</t>
  </si>
  <si>
    <t>Graphic Designer</t>
  </si>
  <si>
    <t>Muskan</t>
  </si>
  <si>
    <t>Ballabgarh</t>
  </si>
  <si>
    <t>Website Designer</t>
  </si>
  <si>
    <t>Aamna</t>
  </si>
  <si>
    <t>Neha</t>
  </si>
  <si>
    <t>Worker</t>
  </si>
  <si>
    <t>Ali</t>
  </si>
  <si>
    <t>SEO</t>
  </si>
  <si>
    <t>Arman</t>
  </si>
  <si>
    <t>Digital Marketing</t>
  </si>
  <si>
    <t>Sales</t>
  </si>
  <si>
    <t>Sr.No</t>
  </si>
  <si>
    <t>Invoice No.</t>
  </si>
  <si>
    <t>Date</t>
  </si>
  <si>
    <t>Client</t>
  </si>
  <si>
    <t>GSTIN</t>
  </si>
  <si>
    <t>HSN / SAC CODE</t>
  </si>
  <si>
    <t>NOS</t>
  </si>
  <si>
    <t>Sq.Ft</t>
  </si>
  <si>
    <t>Sq.inch</t>
  </si>
  <si>
    <t>QTY</t>
  </si>
  <si>
    <t>Taxable
  Amt</t>
  </si>
  <si>
    <t>CGST</t>
  </si>
  <si>
    <t>SGST</t>
  </si>
  <si>
    <t>IGST</t>
  </si>
  <si>
    <t>Frieght 
 Charge</t>
  </si>
  <si>
    <t>Total 
 Amount</t>
  </si>
  <si>
    <t>ED280</t>
  </si>
  <si>
    <t>Maruti Suzuki India Ltd ( Gurgaon )</t>
  </si>
  <si>
    <t>06AAACM0829Q4Z5</t>
  </si>
  <si>
    <t>ED281</t>
  </si>
  <si>
    <t>Times Marketing Pvt Ltd</t>
  </si>
  <si>
    <t>06AAACT1199C1ZL</t>
  </si>
  <si>
    <t>ED282</t>
  </si>
  <si>
    <t>CNH Industrial India Pvt. Ltd.</t>
  </si>
  <si>
    <t>09AAACI3922Q1Z6</t>
  </si>
  <si>
    <t>ED283</t>
  </si>
  <si>
    <t>Tulip Compression Private Limited</t>
  </si>
  <si>
    <t>09AAGCT1437K1Z3</t>
  </si>
  <si>
    <t>ED284</t>
  </si>
  <si>
    <t>Maruti Suzuki India Ltd - ( Kharkhoda)</t>
  </si>
  <si>
    <t>06AAACM0829Q3Z6</t>
  </si>
  <si>
    <t>ED285</t>
  </si>
  <si>
    <t>Maruti Suzuki India Ltd ( Manesar )</t>
  </si>
  <si>
    <t>06AAACM0829Q1Z8</t>
  </si>
  <si>
    <t>ED286</t>
  </si>
  <si>
    <t>CANCELLED</t>
  </si>
  <si>
    <t>ED287</t>
  </si>
  <si>
    <t>ED288</t>
  </si>
  <si>
    <t>Knorr-Bremse India Pvt Ltd.</t>
  </si>
  <si>
    <t>06AAACK4739P1Z3</t>
  </si>
  <si>
    <t>ED289</t>
  </si>
  <si>
    <t>DivineTech Engineers</t>
  </si>
  <si>
    <t>09ATIPR5120P1Z3</t>
  </si>
  <si>
    <t>ED290</t>
  </si>
  <si>
    <t>Sona Blw Precision Forgings Ltd</t>
  </si>
  <si>
    <t>06AABCS4786P1ZN</t>
  </si>
  <si>
    <t>ED291</t>
  </si>
  <si>
    <t>ED292</t>
  </si>
  <si>
    <t>ED293</t>
  </si>
  <si>
    <t>ED294</t>
  </si>
  <si>
    <t>Maruti Suzuki India Ltd. (H.O)</t>
  </si>
  <si>
    <t>07AAACM0829Q1Z6</t>
  </si>
  <si>
    <t>ED295</t>
  </si>
  <si>
    <t>ED296</t>
  </si>
  <si>
    <t>ED297</t>
  </si>
  <si>
    <t>ED298</t>
  </si>
  <si>
    <t>ED299</t>
  </si>
  <si>
    <t>ED300</t>
  </si>
  <si>
    <t>ED301</t>
  </si>
  <si>
    <t>Manitou Equipment India (P) LTD.</t>
  </si>
  <si>
    <t>09AABCT8105H1ZC</t>
  </si>
  <si>
    <t>ED302</t>
  </si>
  <si>
    <t>ED303</t>
  </si>
  <si>
    <t>ED304</t>
  </si>
  <si>
    <t>Maruti Suzuki India Ltd (Gurgaon)</t>
  </si>
  <si>
    <t>ED305</t>
  </si>
  <si>
    <t>ED306</t>
  </si>
  <si>
    <t>ED307</t>
  </si>
  <si>
    <t>Skyra Professional Equipment Pvt Ltd</t>
  </si>
  <si>
    <t>06AARCS0543A1ZN</t>
  </si>
  <si>
    <t>ED308</t>
  </si>
  <si>
    <t>ED309</t>
  </si>
  <si>
    <t>ED310</t>
  </si>
  <si>
    <t>ED311</t>
  </si>
  <si>
    <t>06AAACM0829Q3Z7</t>
  </si>
  <si>
    <t>ED312</t>
  </si>
  <si>
    <t>ED313</t>
  </si>
  <si>
    <t>ED314</t>
  </si>
  <si>
    <t>ED315</t>
  </si>
  <si>
    <t>ED316</t>
  </si>
  <si>
    <t>ED317</t>
  </si>
  <si>
    <t>GRAND TOTAL AMOUNT</t>
  </si>
  <si>
    <t>TOTAL GST AMOUNT</t>
  </si>
  <si>
    <t>Purchase</t>
  </si>
  <si>
    <t xml:space="preserve"> </t>
  </si>
  <si>
    <t>HSN CODE</t>
  </si>
  <si>
    <t>S.S ENTERPRISES</t>
  </si>
  <si>
    <t>07BMGPS6026R1ZA</t>
  </si>
  <si>
    <t>Bhagwati Enterprises</t>
  </si>
  <si>
    <t>06AVXPA5626J1Z8</t>
  </si>
  <si>
    <t>UMANAD GRAPHICS</t>
  </si>
  <si>
    <t>07BDKPK2251F1ZR</t>
  </si>
  <si>
    <t>06AVXPA5626J1Z9</t>
  </si>
  <si>
    <t>Total sales :</t>
  </si>
  <si>
    <t>Total Purchase :</t>
  </si>
  <si>
    <t>Defferent :</t>
  </si>
  <si>
    <t>Total sales  Tax :</t>
  </si>
  <si>
    <t>Total Purchase Tax :</t>
  </si>
  <si>
    <t>Tax Defferent :</t>
  </si>
  <si>
    <t>METER</t>
  </si>
  <si>
    <t>LOT</t>
  </si>
  <si>
    <t>LITRE</t>
  </si>
  <si>
    <t>SAC CODE</t>
  </si>
  <si>
    <t>Taxable
Amt</t>
  </si>
  <si>
    <t>Frieght 
Charge</t>
  </si>
  <si>
    <t>Total 
Amount</t>
  </si>
  <si>
    <t>ED254</t>
  </si>
  <si>
    <t>Manitou Equipment India (P) Ltd.</t>
  </si>
  <si>
    <t>ED255</t>
  </si>
  <si>
    <t>ED256</t>
  </si>
  <si>
    <t>Skyra Professional Equipment Pvt Ltd.</t>
  </si>
  <si>
    <t>ED257</t>
  </si>
  <si>
    <t>The Computer Shopee</t>
  </si>
  <si>
    <t>06AHCPT7156K1ZW</t>
  </si>
  <si>
    <t>ED258</t>
  </si>
  <si>
    <t>ED259</t>
  </si>
  <si>
    <t>Honda Cars India Limited (HCIL)</t>
  </si>
  <si>
    <t>08AAACH1765Q1Z4</t>
  </si>
  <si>
    <t>ED260</t>
  </si>
  <si>
    <t>ED261</t>
  </si>
  <si>
    <t>ROOTS CORPORATION LIMITED</t>
  </si>
  <si>
    <t>06AACCR6389J1ZW</t>
  </si>
  <si>
    <t>ED262</t>
  </si>
  <si>
    <t>CNH Industrial India Pvt Ltd.</t>
  </si>
  <si>
    <t>ED263</t>
  </si>
  <si>
    <t>ED264</t>
  </si>
  <si>
    <t>ED265</t>
  </si>
  <si>
    <t>ED266</t>
  </si>
  <si>
    <t>ED267</t>
  </si>
  <si>
    <t>ED268</t>
  </si>
  <si>
    <t>ED269</t>
  </si>
  <si>
    <t>Spectrum Creation Private Limited</t>
  </si>
  <si>
    <t>06AAACS3675G1ZD</t>
  </si>
  <si>
    <t>ED270</t>
  </si>
  <si>
    <t>ED271</t>
  </si>
  <si>
    <t>ED272</t>
  </si>
  <si>
    <t>ED273</t>
  </si>
  <si>
    <t>Honda Motor India ( A unit of Honda Cars India Ltd.)</t>
  </si>
  <si>
    <t>08AAACH1765Q2Z3</t>
  </si>
  <si>
    <t>ED274</t>
  </si>
  <si>
    <t>ED275</t>
  </si>
  <si>
    <t>ED276</t>
  </si>
  <si>
    <t>ED277</t>
  </si>
  <si>
    <t>ED278</t>
  </si>
  <si>
    <t>ED279</t>
  </si>
  <si>
    <t>HH Interiors LLP</t>
  </si>
  <si>
    <t>06AAJFH7205F1ZL</t>
  </si>
  <si>
    <t>GRAND TOTAL</t>
  </si>
  <si>
    <t>PURCHASE DETAILS</t>
  </si>
  <si>
    <t>S.No.</t>
  </si>
  <si>
    <t>Taxable Amt</t>
  </si>
  <si>
    <t>Frieght Charge</t>
  </si>
  <si>
    <t>Total Amount</t>
  </si>
  <si>
    <t>SPA-1323</t>
  </si>
  <si>
    <t>Shiv Plywood Agency</t>
  </si>
  <si>
    <t>06AHQPB0283K1ZA</t>
  </si>
  <si>
    <t>GPP-404</t>
  </si>
  <si>
    <t>Gupta Paper Products</t>
  </si>
  <si>
    <t>07AAWFG2083M1ZQ</t>
  </si>
  <si>
    <t>U S TRADEPRINT</t>
  </si>
  <si>
    <t>09AAHFU7634H1ZR</t>
  </si>
  <si>
    <t>Gulshan Inverter House</t>
  </si>
  <si>
    <t>06AHXPD3399K1ZM</t>
  </si>
  <si>
    <t>GT-572</t>
  </si>
  <si>
    <t>Garg Traders</t>
  </si>
  <si>
    <t>07BOLPG6554B1Z1</t>
  </si>
  <si>
    <t>Jai Dwarkesh Aluminium Section</t>
  </si>
  <si>
    <t>24DHCB100K2ZF</t>
  </si>
  <si>
    <t>Venimadhav Designs Private Limited</t>
  </si>
  <si>
    <t>06AAKCV1269R1ZJ</t>
  </si>
  <si>
    <t>AMAZING INFOTECH PRIVATE LIMITED</t>
  </si>
  <si>
    <t>07AAYCA9845J1ZQ</t>
  </si>
  <si>
    <t>AUG</t>
  </si>
  <si>
    <t>S.tax</t>
  </si>
  <si>
    <t>P.Tax</t>
  </si>
  <si>
    <t>Diff</t>
  </si>
  <si>
    <t>AILPL-352</t>
  </si>
  <si>
    <t>AKME INDIA LINKS PVT LTD.</t>
  </si>
  <si>
    <t>07AABCA4100H1ZC</t>
  </si>
  <si>
    <t>PE-0095</t>
  </si>
  <si>
    <t>Profuse Engineering</t>
  </si>
  <si>
    <t>06BFDPR4020L1ZH</t>
  </si>
  <si>
    <t>GURU KIRPA TRADING CO.</t>
  </si>
  <si>
    <t>07AAGPB0107M1Z5</t>
  </si>
  <si>
    <t>FSG-433451</t>
  </si>
  <si>
    <t>Insight Print Communications</t>
  </si>
  <si>
    <t>06AABCI6530P1ZB</t>
  </si>
  <si>
    <t>PE-00103</t>
  </si>
  <si>
    <t>AILPL-366</t>
  </si>
  <si>
    <t>SPA-1121</t>
  </si>
  <si>
    <t>SHIV PLYWOOD AGENCY</t>
  </si>
  <si>
    <t>AILPL-376</t>
  </si>
  <si>
    <t>Rainbow Paints &amp; Chemicals</t>
  </si>
  <si>
    <t>06AABFR5503Q1ZZ</t>
  </si>
  <si>
    <t>SWC0525</t>
  </si>
  <si>
    <t>Subhash Watch Co.</t>
  </si>
  <si>
    <t>06AWEPB0486B1Z5</t>
  </si>
  <si>
    <t>PE-00123</t>
  </si>
  <si>
    <t>PE-00124</t>
  </si>
  <si>
    <t>PE-00125</t>
  </si>
  <si>
    <t>PE-00126</t>
  </si>
  <si>
    <t>PE-00127</t>
  </si>
  <si>
    <t>PE-00128</t>
  </si>
  <si>
    <t>PE-00129</t>
  </si>
  <si>
    <t>ARUSHI INDUSTRIES</t>
  </si>
  <si>
    <t>06FZUPD3709M1ZT</t>
  </si>
  <si>
    <t>PE-00130</t>
  </si>
  <si>
    <t>BOX</t>
  </si>
  <si>
    <t>ED152</t>
  </si>
  <si>
    <t>Honda Motors India ( A Unit of Honda Cars India Limited)</t>
  </si>
  <si>
    <t>09AAACH1765Q2Z1</t>
  </si>
  <si>
    <t>ED153</t>
  </si>
  <si>
    <t>ED154</t>
  </si>
  <si>
    <t>ED155</t>
  </si>
  <si>
    <t>ED156</t>
  </si>
  <si>
    <t>ED157</t>
  </si>
  <si>
    <t>ED158</t>
  </si>
  <si>
    <t>ED159</t>
  </si>
  <si>
    <t>ED160</t>
  </si>
  <si>
    <t>ED161</t>
  </si>
  <si>
    <t>ED162</t>
  </si>
  <si>
    <t>Sona BLW Precision Forgings Ltd.</t>
  </si>
  <si>
    <t>ED163</t>
  </si>
  <si>
    <t>ED164</t>
  </si>
  <si>
    <t>ED165</t>
  </si>
  <si>
    <t>ED166</t>
  </si>
  <si>
    <t>ED167</t>
  </si>
  <si>
    <t>ED168</t>
  </si>
  <si>
    <t>Exicom Tele-System Limited</t>
  </si>
  <si>
    <t>06AAACH2448G1ZV</t>
  </si>
  <si>
    <t>ED169</t>
  </si>
  <si>
    <t>ED170</t>
  </si>
  <si>
    <t>ED171</t>
  </si>
  <si>
    <t>ED172</t>
  </si>
  <si>
    <t>ED173</t>
  </si>
  <si>
    <t>ED174</t>
  </si>
  <si>
    <t>ED175</t>
  </si>
  <si>
    <t>ED176</t>
  </si>
  <si>
    <t>ED177</t>
  </si>
  <si>
    <t>ED178</t>
  </si>
  <si>
    <t>ED179</t>
  </si>
  <si>
    <t>ED180</t>
  </si>
  <si>
    <t>ED181</t>
  </si>
  <si>
    <t>ED182</t>
  </si>
  <si>
    <t>ED183</t>
  </si>
  <si>
    <t>ED184</t>
  </si>
  <si>
    <t>ED185</t>
  </si>
  <si>
    <t>ED186</t>
  </si>
  <si>
    <t>ED187</t>
  </si>
  <si>
    <t>ED188</t>
  </si>
  <si>
    <t>ED189</t>
  </si>
  <si>
    <t>ED190</t>
  </si>
  <si>
    <t>Maruti Suzuki India Ltd (Kharkhoda)</t>
  </si>
  <si>
    <t>ED191</t>
  </si>
  <si>
    <t>ED192</t>
  </si>
  <si>
    <t>Maruti Suzuki India Ltd. ( H.O)</t>
  </si>
  <si>
    <t>ED193</t>
  </si>
  <si>
    <t>ED194</t>
  </si>
  <si>
    <t>ED195</t>
  </si>
  <si>
    <t>ED196</t>
  </si>
  <si>
    <t>ED197</t>
  </si>
  <si>
    <t>ED198</t>
  </si>
  <si>
    <t>ED199</t>
  </si>
  <si>
    <t>ED200</t>
  </si>
  <si>
    <t>ED201</t>
  </si>
  <si>
    <t>ED202</t>
  </si>
  <si>
    <t>M/s SCJ Plastics Pvt Ltd.</t>
  </si>
  <si>
    <t>07AAACS1107P1ZD</t>
  </si>
  <si>
    <t>PE-0084</t>
  </si>
  <si>
    <t>Profuse Engineering Works</t>
  </si>
  <si>
    <t>06BBYPR7844D1ZZ</t>
  </si>
  <si>
    <t>FSG-42767</t>
  </si>
  <si>
    <t>Insight Print Communication Pvt Ltd</t>
  </si>
  <si>
    <t>RC-309</t>
  </si>
  <si>
    <t>Richa Chemicals</t>
  </si>
  <si>
    <t>06AFQPY0120C1ZO</t>
  </si>
  <si>
    <t>ADS-32</t>
  </si>
  <si>
    <t>A2Z Digital Solution</t>
  </si>
  <si>
    <t>09BWNPS6937E1ZU</t>
  </si>
  <si>
    <t>Unmad Graphics</t>
  </si>
  <si>
    <t>VEDPL-12979</t>
  </si>
  <si>
    <t>Vansh Elctromechanical Device Private Limited</t>
  </si>
  <si>
    <t>06AAACV9890N1Z1</t>
  </si>
  <si>
    <t>AIPL-2513</t>
  </si>
  <si>
    <t>Amazing Infotech Private Limited</t>
  </si>
  <si>
    <t>S.TAX</t>
  </si>
  <si>
    <t>P.TAX</t>
  </si>
  <si>
    <t>DIFF</t>
  </si>
  <si>
    <t>ED109</t>
  </si>
  <si>
    <t>CANCEL</t>
  </si>
  <si>
    <t>ED110</t>
  </si>
  <si>
    <t>ED111</t>
  </si>
  <si>
    <t>ED112</t>
  </si>
  <si>
    <t>Honda Cars India Limited</t>
  </si>
  <si>
    <t>09AAACH1765Q1Z2</t>
  </si>
  <si>
    <t>ED113</t>
  </si>
  <si>
    <t>ED114</t>
  </si>
  <si>
    <t>ED115</t>
  </si>
  <si>
    <t>ED116</t>
  </si>
  <si>
    <t>ED117</t>
  </si>
  <si>
    <t>ED118</t>
  </si>
  <si>
    <t>Manitou Equipment india (P) Ltd.</t>
  </si>
  <si>
    <t>ED119</t>
  </si>
  <si>
    <t>ED120</t>
  </si>
  <si>
    <t>STUDDS Accessories Ltd. (Plant-I)</t>
  </si>
  <si>
    <t>06AACCS4217Q1Z2</t>
  </si>
  <si>
    <t>ED121</t>
  </si>
  <si>
    <t>ED122</t>
  </si>
  <si>
    <t>ED123</t>
  </si>
  <si>
    <t>ED124</t>
  </si>
  <si>
    <t>ED125</t>
  </si>
  <si>
    <t>ED126</t>
  </si>
  <si>
    <t>Times Marketing</t>
  </si>
  <si>
    <t>ED127</t>
  </si>
  <si>
    <t>Maruti Suzuki India Ltd (Manesar)</t>
  </si>
  <si>
    <t>ED128</t>
  </si>
  <si>
    <t>ED129</t>
  </si>
  <si>
    <t>ED130</t>
  </si>
  <si>
    <t>ED131</t>
  </si>
  <si>
    <t>ED132</t>
  </si>
  <si>
    <t>ED133</t>
  </si>
  <si>
    <t>ED134</t>
  </si>
  <si>
    <t>CNH Industrial Pvt Ltd.</t>
  </si>
  <si>
    <t>ED135</t>
  </si>
  <si>
    <t>ED136</t>
  </si>
  <si>
    <t>ED137</t>
  </si>
  <si>
    <t>ED138</t>
  </si>
  <si>
    <t>ED139</t>
  </si>
  <si>
    <t>Maruti Suzuki India Limited (Gurgaon)</t>
  </si>
  <si>
    <t>ED140</t>
  </si>
  <si>
    <t>ED141</t>
  </si>
  <si>
    <t>ED142</t>
  </si>
  <si>
    <t>ED143</t>
  </si>
  <si>
    <t>ED144</t>
  </si>
  <si>
    <t>ED145</t>
  </si>
  <si>
    <t>ED146</t>
  </si>
  <si>
    <t>ED147</t>
  </si>
  <si>
    <t>ED148</t>
  </si>
  <si>
    <t>Honda Motors India ( A unit of Honda Cars India Ltd.)</t>
  </si>
  <si>
    <t>ED149</t>
  </si>
  <si>
    <t>ED150</t>
  </si>
  <si>
    <t>ED151</t>
  </si>
  <si>
    <t>SL-1844</t>
  </si>
  <si>
    <t>SAMLITE INDIA Pvt Ltd.</t>
  </si>
  <si>
    <t>07ABACS0669R1ZQ</t>
  </si>
  <si>
    <t>AT-0523</t>
  </si>
  <si>
    <t>M/S Arihant Traders</t>
  </si>
  <si>
    <t>06AAMPJ1299C1ZR</t>
  </si>
  <si>
    <t>AIPL-245</t>
  </si>
  <si>
    <t>Akme India Links Pvt Ltd.</t>
  </si>
  <si>
    <t>FSG-42225</t>
  </si>
  <si>
    <t>Insight Print Communications Pvt Ltd.</t>
  </si>
  <si>
    <t>FSG-42226</t>
  </si>
  <si>
    <t>SDN Infotech</t>
  </si>
  <si>
    <t>07AHYPJ0408L1ZZ</t>
  </si>
  <si>
    <t>Bajaj Glass</t>
  </si>
  <si>
    <t>06BYFPB0564E1ZY</t>
  </si>
  <si>
    <t>FSG-42315</t>
  </si>
  <si>
    <t>PE-0076</t>
  </si>
  <si>
    <t>ED065</t>
  </si>
  <si>
    <t>Manitou Equipment</t>
  </si>
  <si>
    <t>ED066</t>
  </si>
  <si>
    <t>ED067</t>
  </si>
  <si>
    <t>ED068</t>
  </si>
  <si>
    <t>ED069</t>
  </si>
  <si>
    <t>ED070</t>
  </si>
  <si>
    <t>Maruti Suzuki India Ltd (Manesar Power Plant)</t>
  </si>
  <si>
    <t>ED071</t>
  </si>
  <si>
    <t>ED072</t>
  </si>
  <si>
    <t>ED073</t>
  </si>
  <si>
    <t>Maruti Suzuki India Ltd (GURGAON)</t>
  </si>
  <si>
    <t>ED074</t>
  </si>
  <si>
    <t>ED075</t>
  </si>
  <si>
    <t>ED076</t>
  </si>
  <si>
    <t>ED077</t>
  </si>
  <si>
    <t>ED078</t>
  </si>
  <si>
    <t>ED079</t>
  </si>
  <si>
    <t>ED080</t>
  </si>
  <si>
    <t>ED081</t>
  </si>
  <si>
    <t>ED082</t>
  </si>
  <si>
    <t>ED083</t>
  </si>
  <si>
    <t>ED084</t>
  </si>
  <si>
    <t>Maruti Suzuki India Ltd (H.O)</t>
  </si>
  <si>
    <t>ED085</t>
  </si>
  <si>
    <t>SALES</t>
  </si>
  <si>
    <t>ED086</t>
  </si>
  <si>
    <t>PURCHASE</t>
  </si>
  <si>
    <t>ED087</t>
  </si>
  <si>
    <t>ED088</t>
  </si>
  <si>
    <t>ED089</t>
  </si>
  <si>
    <t>ED090</t>
  </si>
  <si>
    <t>Welecome Industries &amp; trading Co.</t>
  </si>
  <si>
    <t>06AACFW1780B1ZH</t>
  </si>
  <si>
    <t>ED091</t>
  </si>
  <si>
    <t>ED092</t>
  </si>
  <si>
    <t>ED093</t>
  </si>
  <si>
    <t>Pearl Printers</t>
  </si>
  <si>
    <t>06ACEPK8212E1Z2</t>
  </si>
  <si>
    <t>ED094</t>
  </si>
  <si>
    <t>ED095</t>
  </si>
  <si>
    <t>ED096</t>
  </si>
  <si>
    <t>ED097</t>
  </si>
  <si>
    <t>ED098</t>
  </si>
  <si>
    <t>ED099</t>
  </si>
  <si>
    <t>ED100</t>
  </si>
  <si>
    <t>ED101</t>
  </si>
  <si>
    <t>Modi Brothers Pvt. Ltd.</t>
  </si>
  <si>
    <t>06AADCM3697H1Z8</t>
  </si>
  <si>
    <t>ED102</t>
  </si>
  <si>
    <t>STUDDS ACCESSORIES LTD. (Plant-III)</t>
  </si>
  <si>
    <t>ED103</t>
  </si>
  <si>
    <t>ED104</t>
  </si>
  <si>
    <t>ED105</t>
  </si>
  <si>
    <t>Maruti Suzuki India Ltd.</t>
  </si>
  <si>
    <t>ED106</t>
  </si>
  <si>
    <t>ED107</t>
  </si>
  <si>
    <t>Honda Motor india ( A unit of Honda Cars India Ltd.)</t>
  </si>
  <si>
    <t>09AAACH1765Q2Z3</t>
  </si>
  <si>
    <t>ED108</t>
  </si>
  <si>
    <t>US-2437</t>
  </si>
  <si>
    <t>US-2556</t>
  </si>
  <si>
    <t>Aggarwal H/W &amp; Paint Store</t>
  </si>
  <si>
    <t>06AABFA8645G1ZK</t>
  </si>
  <si>
    <t>FSG-41482</t>
  </si>
  <si>
    <t>Insight Print Communication Pvt Ltd.</t>
  </si>
  <si>
    <t>AIPL-165</t>
  </si>
  <si>
    <t>AKME INDIA LINKS Pvt Ltd.</t>
  </si>
  <si>
    <t>GPP-167</t>
  </si>
  <si>
    <t>GUPTA PAPER PRODUCTS</t>
  </si>
  <si>
    <t>AIPL-1163</t>
  </si>
  <si>
    <t>Umanad Graphics</t>
  </si>
  <si>
    <t>INDUSTRIAL SALES AGENCY</t>
  </si>
  <si>
    <t>06AEZPS1722A1ZH</t>
  </si>
  <si>
    <t>GT-260</t>
  </si>
  <si>
    <t>GARG TRADERS</t>
  </si>
  <si>
    <t>Tyre Expert</t>
  </si>
  <si>
    <t>06ADFPY2000C1Z4</t>
  </si>
  <si>
    <t>FSG-41707</t>
  </si>
  <si>
    <t>Prem Marketing</t>
  </si>
  <si>
    <t>06FWYPS2885E1ZM</t>
  </si>
  <si>
    <t>Arushi Industries</t>
  </si>
  <si>
    <t>ED029</t>
  </si>
  <si>
    <t>ED030</t>
  </si>
  <si>
    <t>ED031</t>
  </si>
  <si>
    <t>Britannia Industries Limited</t>
  </si>
  <si>
    <t>27AABCB2066P1ZF</t>
  </si>
  <si>
    <t>ED032</t>
  </si>
  <si>
    <t>ED033</t>
  </si>
  <si>
    <t>ED034</t>
  </si>
  <si>
    <t>ED035</t>
  </si>
  <si>
    <t>ED036</t>
  </si>
  <si>
    <t>ED037</t>
  </si>
  <si>
    <t>ED038</t>
  </si>
  <si>
    <t>ED039</t>
  </si>
  <si>
    <t>ED040</t>
  </si>
  <si>
    <t>Caparo Engineering India Limited</t>
  </si>
  <si>
    <t>09AABCC7862N1Z2</t>
  </si>
  <si>
    <t>ED041</t>
  </si>
  <si>
    <t>ED042</t>
  </si>
  <si>
    <t>Escorts Kubota Limited</t>
  </si>
  <si>
    <t>06AAACE0074B1ZE</t>
  </si>
  <si>
    <t>ED043</t>
  </si>
  <si>
    <t>ED044</t>
  </si>
  <si>
    <t>ED045</t>
  </si>
  <si>
    <t>ED046</t>
  </si>
  <si>
    <t>ED047</t>
  </si>
  <si>
    <t>ED048</t>
  </si>
  <si>
    <t>ED049</t>
  </si>
  <si>
    <t>ED050</t>
  </si>
  <si>
    <t>ED051</t>
  </si>
  <si>
    <t>ED052</t>
  </si>
  <si>
    <t>ED053</t>
  </si>
  <si>
    <t>a</t>
  </si>
  <si>
    <t>ED054</t>
  </si>
  <si>
    <t>ED055</t>
  </si>
  <si>
    <t>ED056</t>
  </si>
  <si>
    <t>ED057</t>
  </si>
  <si>
    <t>ED058</t>
  </si>
  <si>
    <t>S.Tax</t>
  </si>
  <si>
    <t>ED059</t>
  </si>
  <si>
    <t>ED060</t>
  </si>
  <si>
    <t>ED061</t>
  </si>
  <si>
    <t>ED062</t>
  </si>
  <si>
    <t>ED063</t>
  </si>
  <si>
    <t>ED064</t>
  </si>
  <si>
    <t>Bharat Rubber</t>
  </si>
  <si>
    <t>07AAEFB0940Q1ZB</t>
  </si>
  <si>
    <t>SAMLITE INDIA PVT LTD</t>
  </si>
  <si>
    <t>PE-0012</t>
  </si>
  <si>
    <t>Profile Automation Industries</t>
  </si>
  <si>
    <t>06AODPA2202D1Z1</t>
  </si>
  <si>
    <t>OD334327939559292100</t>
  </si>
  <si>
    <t>Consulting Rooms Private Limited</t>
  </si>
  <si>
    <t>06AAGCC4236P1ZD</t>
  </si>
  <si>
    <t>GT-144</t>
  </si>
  <si>
    <t>PE-0021</t>
  </si>
  <si>
    <t>SL/1033</t>
  </si>
  <si>
    <t>S.no.</t>
  </si>
  <si>
    <t>ED001</t>
  </si>
  <si>
    <t>TIMES MARKETING PVT LTD</t>
  </si>
  <si>
    <t>ED002</t>
  </si>
  <si>
    <t>CNH INDUSTRIAL INDIA Pvt Ltd.</t>
  </si>
  <si>
    <t>ED003</t>
  </si>
  <si>
    <t>STUDDS ACCESSORIES LTD. (Plant-I)</t>
  </si>
  <si>
    <t>ED004</t>
  </si>
  <si>
    <t>STUDDS ACCESSORIES LTD. (Plant-II)</t>
  </si>
  <si>
    <t>ED005</t>
  </si>
  <si>
    <t>ED006</t>
  </si>
  <si>
    <t>STUDDS ACCESSORIES LTD. (Plant-IV)</t>
  </si>
  <si>
    <t>ED007</t>
  </si>
  <si>
    <t>ED008</t>
  </si>
  <si>
    <t>07AAACM0829QIZ6</t>
  </si>
  <si>
    <t>ED009</t>
  </si>
  <si>
    <t>ED010</t>
  </si>
  <si>
    <t>SKYRA Professional Equipment Limited</t>
  </si>
  <si>
    <t>ED011</t>
  </si>
  <si>
    <t>Times Marketing Pvt Ltd.</t>
  </si>
  <si>
    <t>ED012</t>
  </si>
  <si>
    <t>Maruti Suzuki India Ltd. (Kharkhoda)</t>
  </si>
  <si>
    <t>ED013</t>
  </si>
  <si>
    <t>ED014</t>
  </si>
  <si>
    <t>MANITOU EQUIPMENT INDIA (P) Ltd.</t>
  </si>
  <si>
    <t>ED015</t>
  </si>
  <si>
    <t>HH INTERIORS LLP</t>
  </si>
  <si>
    <t>ED016</t>
  </si>
  <si>
    <t>ED017</t>
  </si>
  <si>
    <t>ED018</t>
  </si>
  <si>
    <t>ED019</t>
  </si>
  <si>
    <t>ED020</t>
  </si>
  <si>
    <t>ED021</t>
  </si>
  <si>
    <t>ED022</t>
  </si>
  <si>
    <t>ED024</t>
  </si>
  <si>
    <t>MANITOU EQUIPMENT</t>
  </si>
  <si>
    <t>ED025</t>
  </si>
  <si>
    <t>ED026</t>
  </si>
  <si>
    <t>ED027</t>
  </si>
  <si>
    <t>ED028</t>
  </si>
  <si>
    <t>Endurance International Group Pvt Ltd.</t>
  </si>
  <si>
    <t>27AAECD1043M1ZP</t>
  </si>
  <si>
    <t>CI-000278</t>
  </si>
  <si>
    <t>Channel Industries</t>
  </si>
  <si>
    <t>27ADKPV6991N3Z9</t>
  </si>
  <si>
    <t>OMS-068</t>
  </si>
  <si>
    <t>Movers &amp; Lifters</t>
  </si>
  <si>
    <t>27AAXFM5701B1Z9</t>
  </si>
  <si>
    <t>Industrial Sales Agency</t>
  </si>
  <si>
    <t>SIRT-1654</t>
  </si>
  <si>
    <t>Vijay Sales</t>
  </si>
  <si>
    <t>06AAHCV3778L1ZO</t>
  </si>
  <si>
    <t>AIPL-0417</t>
  </si>
  <si>
    <t>Amazing Infotech Pvt Ltd.</t>
  </si>
  <si>
    <t>Day</t>
  </si>
  <si>
    <t>month</t>
  </si>
  <si>
    <t>Year</t>
  </si>
  <si>
    <t>Total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</si>
</sst>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  <numFmt numFmtId="165" formatCode="_ [$₹-4009]\ * #,##0_ ;_ [$₹-4009]\ * \-#,##0_ ;_ [$₹-4009]\ * &quot;-&quot;_ ;_ @_ "/>
    <numFmt numFmtId="166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2"/>
      <name val="Times New Roman"/>
      <family val="1"/>
    </font>
    <font>
      <sz val="11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entury"/>
    </font>
    <font>
      <b/>
      <sz val="11"/>
      <color theme="1"/>
      <name val="Calibri"/>
      <family val="2"/>
      <scheme val="minor"/>
    </font>
    <font>
      <sz val="26"/>
      <color theme="1"/>
      <name val="Century"/>
    </font>
    <font>
      <sz val="24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212121"/>
      <name val="Verdana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/>
    </xf>
    <xf numFmtId="0" fontId="0" fillId="0" borderId="5" xfId="0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" fontId="0" fillId="0" borderId="0" xfId="0" applyNumberFormat="1"/>
    <xf numFmtId="164" fontId="0" fillId="0" borderId="0" xfId="0" applyNumberFormat="1"/>
    <xf numFmtId="164" fontId="4" fillId="5" borderId="5" xfId="0" applyNumberFormat="1" applyFon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9" fillId="0" borderId="4" xfId="0" applyNumberFormat="1" applyFont="1" applyBorder="1"/>
    <xf numFmtId="164" fontId="9" fillId="0" borderId="0" xfId="0" applyNumberFormat="1" applyFont="1"/>
    <xf numFmtId="165" fontId="12" fillId="0" borderId="5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5" fontId="17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vertical="center"/>
    </xf>
    <xf numFmtId="4" fontId="17" fillId="4" borderId="11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4" fontId="16" fillId="0" borderId="11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vertical="center"/>
    </xf>
    <xf numFmtId="0" fontId="17" fillId="6" borderId="11" xfId="0" applyFont="1" applyFill="1" applyBorder="1" applyAlignment="1">
      <alignment vertical="center"/>
    </xf>
    <xf numFmtId="0" fontId="16" fillId="6" borderId="11" xfId="0" applyFont="1" applyFill="1" applyBorder="1" applyAlignment="1">
      <alignment horizontal="right" vertical="center"/>
    </xf>
    <xf numFmtId="0" fontId="18" fillId="0" borderId="11" xfId="0" applyFont="1" applyBorder="1" applyAlignment="1">
      <alignment horizontal="center" vertical="center"/>
    </xf>
    <xf numFmtId="0" fontId="19" fillId="4" borderId="11" xfId="0" applyFont="1" applyFill="1" applyBorder="1" applyAlignment="1">
      <alignment vertical="center"/>
    </xf>
    <xf numFmtId="4" fontId="16" fillId="4" borderId="11" xfId="0" applyNumberFormat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4" fontId="17" fillId="0" borderId="11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right" vertical="center"/>
    </xf>
    <xf numFmtId="0" fontId="16" fillId="6" borderId="10" xfId="0" applyFont="1" applyFill="1" applyBorder="1" applyAlignment="1">
      <alignment horizontal="center" vertical="top"/>
    </xf>
    <xf numFmtId="0" fontId="16" fillId="6" borderId="11" xfId="0" applyFont="1" applyFill="1" applyBorder="1" applyAlignment="1">
      <alignment horizontal="center" vertical="top"/>
    </xf>
    <xf numFmtId="0" fontId="16" fillId="6" borderId="11" xfId="0" applyFont="1" applyFill="1" applyBorder="1" applyAlignment="1">
      <alignment vertical="top"/>
    </xf>
    <xf numFmtId="0" fontId="17" fillId="6" borderId="11" xfId="0" applyFont="1" applyFill="1" applyBorder="1" applyAlignment="1">
      <alignment vertical="top"/>
    </xf>
    <xf numFmtId="0" fontId="16" fillId="6" borderId="11" xfId="0" applyFont="1" applyFill="1" applyBorder="1" applyAlignment="1">
      <alignment horizontal="right" vertical="top"/>
    </xf>
    <xf numFmtId="0" fontId="17" fillId="0" borderId="10" xfId="0" applyFont="1" applyBorder="1" applyAlignment="1">
      <alignment horizontal="center" vertical="top"/>
    </xf>
    <xf numFmtId="0" fontId="17" fillId="0" borderId="11" xfId="0" applyFont="1" applyBorder="1" applyAlignment="1">
      <alignment horizontal="center" vertical="top"/>
    </xf>
    <xf numFmtId="15" fontId="17" fillId="0" borderId="11" xfId="0" applyNumberFormat="1" applyFont="1" applyBorder="1" applyAlignment="1">
      <alignment horizontal="center"/>
    </xf>
    <xf numFmtId="0" fontId="17" fillId="0" borderId="11" xfId="0" applyFont="1" applyBorder="1"/>
    <xf numFmtId="0" fontId="17" fillId="0" borderId="11" xfId="0" applyFont="1" applyBorder="1" applyAlignment="1">
      <alignment horizontal="center"/>
    </xf>
    <xf numFmtId="4" fontId="17" fillId="4" borderId="11" xfId="0" applyNumberFormat="1" applyFont="1" applyFill="1" applyBorder="1" applyAlignment="1">
      <alignment horizontal="center"/>
    </xf>
    <xf numFmtId="0" fontId="17" fillId="0" borderId="10" xfId="0" applyFont="1" applyBorder="1" applyAlignment="1">
      <alignment vertical="top"/>
    </xf>
    <xf numFmtId="0" fontId="17" fillId="0" borderId="11" xfId="0" applyFont="1" applyBorder="1" applyAlignment="1">
      <alignment vertical="top"/>
    </xf>
    <xf numFmtId="0" fontId="17" fillId="4" borderId="11" xfId="0" applyFont="1" applyFill="1" applyBorder="1"/>
    <xf numFmtId="0" fontId="17" fillId="0" borderId="10" xfId="0" applyFont="1" applyBorder="1"/>
    <xf numFmtId="0" fontId="17" fillId="0" borderId="10" xfId="0" applyFont="1" applyBorder="1" applyAlignment="1">
      <alignment horizontal="center"/>
    </xf>
    <xf numFmtId="0" fontId="17" fillId="6" borderId="11" xfId="0" applyFont="1" applyFill="1" applyBorder="1" applyAlignment="1">
      <alignment horizontal="center" vertical="center"/>
    </xf>
    <xf numFmtId="0" fontId="20" fillId="9" borderId="7" xfId="1" applyFill="1" applyBorder="1" applyAlignment="1" applyProtection="1">
      <alignment horizontal="center"/>
    </xf>
    <xf numFmtId="0" fontId="16" fillId="6" borderId="8" xfId="0" applyFont="1" applyFill="1" applyBorder="1" applyAlignment="1">
      <alignment horizontal="center"/>
    </xf>
    <xf numFmtId="0" fontId="17" fillId="0" borderId="9" xfId="0" applyFont="1" applyBorder="1"/>
    <xf numFmtId="0" fontId="17" fillId="4" borderId="11" xfId="0" applyFont="1" applyFill="1" applyBorder="1" applyAlignment="1">
      <alignment horizontal="center"/>
    </xf>
    <xf numFmtId="0" fontId="17" fillId="0" borderId="9" xfId="0" applyFont="1" applyBorder="1" applyAlignment="1">
      <alignment vertical="top"/>
    </xf>
    <xf numFmtId="0" fontId="17" fillId="6" borderId="11" xfId="0" applyFont="1" applyFill="1" applyBorder="1" applyAlignment="1">
      <alignment horizontal="center" vertical="top"/>
    </xf>
    <xf numFmtId="0" fontId="17" fillId="9" borderId="11" xfId="0" applyFont="1" applyFill="1" applyBorder="1" applyAlignment="1">
      <alignment horizontal="center" vertical="top"/>
    </xf>
    <xf numFmtId="15" fontId="17" fillId="0" borderId="11" xfId="0" applyNumberFormat="1" applyFont="1" applyBorder="1" applyAlignment="1">
      <alignment horizontal="right"/>
    </xf>
    <xf numFmtId="0" fontId="16" fillId="0" borderId="11" xfId="0" applyFont="1" applyBorder="1" applyAlignment="1">
      <alignment horizontal="center" vertical="top"/>
    </xf>
    <xf numFmtId="4" fontId="16" fillId="0" borderId="11" xfId="0" applyNumberFormat="1" applyFont="1" applyBorder="1" applyAlignment="1">
      <alignment horizontal="center" vertical="top"/>
    </xf>
    <xf numFmtId="0" fontId="16" fillId="0" borderId="11" xfId="0" applyFont="1" applyBorder="1" applyAlignment="1">
      <alignment horizontal="center"/>
    </xf>
    <xf numFmtId="0" fontId="17" fillId="0" borderId="15" xfId="0" applyFont="1" applyBorder="1"/>
    <xf numFmtId="0" fontId="17" fillId="4" borderId="11" xfId="0" applyFont="1" applyFill="1" applyBorder="1" applyAlignment="1">
      <alignment vertical="top"/>
    </xf>
    <xf numFmtId="4" fontId="16" fillId="4" borderId="11" xfId="0" applyNumberFormat="1" applyFont="1" applyFill="1" applyBorder="1" applyAlignment="1">
      <alignment horizontal="center" vertical="top"/>
    </xf>
    <xf numFmtId="0" fontId="16" fillId="4" borderId="11" xfId="0" applyFont="1" applyFill="1" applyBorder="1" applyAlignment="1">
      <alignment horizontal="center" vertical="top"/>
    </xf>
    <xf numFmtId="0" fontId="17" fillId="0" borderId="16" xfId="0" applyFont="1" applyBorder="1"/>
    <xf numFmtId="4" fontId="17" fillId="0" borderId="11" xfId="0" applyNumberFormat="1" applyFont="1" applyBorder="1" applyAlignment="1">
      <alignment horizontal="right"/>
    </xf>
    <xf numFmtId="0" fontId="17" fillId="0" borderId="11" xfId="0" applyFont="1" applyBorder="1" applyAlignment="1">
      <alignment horizontal="right"/>
    </xf>
    <xf numFmtId="0" fontId="20" fillId="6" borderId="7" xfId="1" applyFill="1" applyBorder="1" applyAlignment="1" applyProtection="1">
      <alignment horizontal="center"/>
    </xf>
    <xf numFmtId="0" fontId="17" fillId="5" borderId="11" xfId="0" applyFont="1" applyFill="1" applyBorder="1" applyAlignment="1">
      <alignment horizontal="center" vertical="top"/>
    </xf>
    <xf numFmtId="0" fontId="17" fillId="0" borderId="17" xfId="0" applyFont="1" applyBorder="1"/>
    <xf numFmtId="0" fontId="17" fillId="0" borderId="17" xfId="0" applyFont="1" applyBorder="1" applyAlignment="1">
      <alignment vertical="top"/>
    </xf>
    <xf numFmtId="0" fontId="17" fillId="0" borderId="18" xfId="0" applyFont="1" applyBorder="1"/>
    <xf numFmtId="0" fontId="17" fillId="0" borderId="19" xfId="0" applyFont="1" applyBorder="1"/>
    <xf numFmtId="4" fontId="17" fillId="0" borderId="19" xfId="0" applyNumberFormat="1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7" fillId="0" borderId="9" xfId="0" applyFont="1" applyBorder="1" applyAlignment="1">
      <alignment horizontal="right"/>
    </xf>
    <xf numFmtId="4" fontId="17" fillId="0" borderId="19" xfId="0" applyNumberFormat="1" applyFont="1" applyBorder="1" applyAlignment="1">
      <alignment horizontal="center" vertical="top"/>
    </xf>
    <xf numFmtId="4" fontId="17" fillId="4" borderId="19" xfId="0" applyNumberFormat="1" applyFont="1" applyFill="1" applyBorder="1" applyAlignment="1">
      <alignment horizontal="center" vertical="top"/>
    </xf>
    <xf numFmtId="4" fontId="16" fillId="0" borderId="19" xfId="0" applyNumberFormat="1" applyFont="1" applyBorder="1" applyAlignment="1">
      <alignment horizontal="center"/>
    </xf>
    <xf numFmtId="4" fontId="17" fillId="0" borderId="9" xfId="0" applyNumberFormat="1" applyFont="1" applyBorder="1" applyAlignment="1">
      <alignment horizontal="center"/>
    </xf>
    <xf numFmtId="4" fontId="17" fillId="0" borderId="11" xfId="0" applyNumberFormat="1" applyFont="1" applyBorder="1" applyAlignment="1">
      <alignment horizontal="center"/>
    </xf>
    <xf numFmtId="0" fontId="20" fillId="6" borderId="7" xfId="1" applyFill="1" applyBorder="1" applyAlignment="1" applyProtection="1">
      <alignment horizontal="center"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4" fontId="17" fillId="0" borderId="19" xfId="0" applyNumberFormat="1" applyFont="1" applyBorder="1" applyAlignment="1">
      <alignment horizontal="center" vertical="center"/>
    </xf>
    <xf numFmtId="4" fontId="17" fillId="4" borderId="19" xfId="0" applyNumberFormat="1" applyFont="1" applyFill="1" applyBorder="1" applyAlignment="1">
      <alignment horizontal="center" vertical="center"/>
    </xf>
    <xf numFmtId="4" fontId="16" fillId="0" borderId="19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/>
    </xf>
    <xf numFmtId="4" fontId="17" fillId="0" borderId="11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top"/>
    </xf>
    <xf numFmtId="0" fontId="16" fillId="10" borderId="11" xfId="0" applyFont="1" applyFill="1" applyBorder="1" applyAlignment="1">
      <alignment horizontal="center" vertical="top"/>
    </xf>
    <xf numFmtId="0" fontId="16" fillId="10" borderId="11" xfId="0" applyFont="1" applyFill="1" applyBorder="1" applyAlignment="1">
      <alignment vertical="top"/>
    </xf>
    <xf numFmtId="44" fontId="17" fillId="0" borderId="11" xfId="0" applyNumberFormat="1" applyFont="1" applyBorder="1" applyAlignment="1">
      <alignment horizontal="center"/>
    </xf>
    <xf numFmtId="166" fontId="17" fillId="0" borderId="11" xfId="0" applyNumberFormat="1" applyFont="1" applyBorder="1" applyAlignment="1">
      <alignment horizontal="center"/>
    </xf>
    <xf numFmtId="0" fontId="16" fillId="10" borderId="20" xfId="0" applyFont="1" applyFill="1" applyBorder="1" applyAlignment="1">
      <alignment horizontal="center" vertical="top"/>
    </xf>
    <xf numFmtId="14" fontId="0" fillId="0" borderId="0" xfId="0" applyNumberFormat="1"/>
    <xf numFmtId="14" fontId="16" fillId="10" borderId="11" xfId="0" applyNumberFormat="1" applyFont="1" applyFill="1" applyBorder="1" applyAlignment="1">
      <alignment horizontal="center" vertical="top"/>
    </xf>
    <xf numFmtId="14" fontId="17" fillId="0" borderId="11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8" fillId="5" borderId="5" xfId="0" applyNumberFormat="1" applyFont="1" applyFill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/>
    </xf>
    <xf numFmtId="164" fontId="8" fillId="7" borderId="5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10" fillId="7" borderId="5" xfId="0" applyFont="1" applyFill="1" applyBorder="1" applyAlignment="1">
      <alignment horizontal="left"/>
    </xf>
    <xf numFmtId="165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5" borderId="5" xfId="0" applyFont="1" applyFill="1" applyBorder="1" applyAlignment="1">
      <alignment horizontal="left"/>
    </xf>
    <xf numFmtId="0" fontId="10" fillId="8" borderId="5" xfId="0" applyFont="1" applyFill="1" applyBorder="1" applyAlignment="1">
      <alignment horizontal="left"/>
    </xf>
    <xf numFmtId="0" fontId="14" fillId="7" borderId="5" xfId="0" applyFont="1" applyFill="1" applyBorder="1" applyAlignment="1">
      <alignment horizontal="left"/>
    </xf>
    <xf numFmtId="165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5" borderId="5" xfId="0" applyFont="1" applyFill="1" applyBorder="1" applyAlignment="1">
      <alignment horizontal="left"/>
    </xf>
    <xf numFmtId="0" fontId="14" fillId="8" borderId="5" xfId="0" applyFont="1" applyFill="1" applyBorder="1" applyAlignment="1">
      <alignment horizontal="left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vertical="center"/>
    </xf>
    <xf numFmtId="0" fontId="16" fillId="9" borderId="14" xfId="0" applyFont="1" applyFill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6" fillId="9" borderId="12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top"/>
    </xf>
    <xf numFmtId="0" fontId="16" fillId="6" borderId="13" xfId="0" applyFont="1" applyFill="1" applyBorder="1" applyAlignment="1">
      <alignment horizontal="center" vertical="top"/>
    </xf>
    <xf numFmtId="0" fontId="16" fillId="6" borderId="14" xfId="0" applyFont="1" applyFill="1" applyBorder="1" applyAlignment="1">
      <alignment horizontal="center" vertical="top"/>
    </xf>
    <xf numFmtId="0" fontId="16" fillId="9" borderId="12" xfId="0" applyFont="1" applyFill="1" applyBorder="1" applyAlignment="1">
      <alignment vertical="top"/>
    </xf>
    <xf numFmtId="0" fontId="16" fillId="9" borderId="14" xfId="0" applyFont="1" applyFill="1" applyBorder="1" applyAlignment="1">
      <alignment vertical="top"/>
    </xf>
    <xf numFmtId="0" fontId="17" fillId="0" borderId="12" xfId="0" applyFont="1" applyBorder="1"/>
    <xf numFmtId="0" fontId="17" fillId="0" borderId="13" xfId="0" applyFont="1" applyBorder="1"/>
    <xf numFmtId="0" fontId="17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5006-9692-424C-89DA-DD1C646FA64C}">
  <sheetPr>
    <tabColor rgb="FFC00000"/>
  </sheetPr>
  <dimension ref="B2:N13"/>
  <sheetViews>
    <sheetView zoomScale="72" zoomScaleNormal="95" workbookViewId="0">
      <selection activeCell="E8" sqref="E8"/>
    </sheetView>
  </sheetViews>
  <sheetFormatPr defaultRowHeight="22.8" x14ac:dyDescent="0.4"/>
  <cols>
    <col min="2" max="2" width="17.88671875" style="1" customWidth="1"/>
    <col min="3" max="3" width="23.33203125" style="1" customWidth="1"/>
    <col min="4" max="4" width="28.6640625" style="1" bestFit="1" customWidth="1"/>
    <col min="5" max="5" width="23.33203125" style="1" customWidth="1"/>
    <col min="7" max="7" width="20.33203125" bestFit="1" customWidth="1"/>
    <col min="8" max="8" width="9.6640625" bestFit="1" customWidth="1"/>
    <col min="9" max="9" width="10.44140625" bestFit="1" customWidth="1"/>
    <col min="10" max="10" width="18.88671875" bestFit="1" customWidth="1"/>
    <col min="11" max="11" width="19.33203125" bestFit="1" customWidth="1"/>
    <col min="12" max="12" width="15.109375" bestFit="1" customWidth="1"/>
  </cols>
  <sheetData>
    <row r="2" spans="2:14" ht="23.4" thickBot="1" x14ac:dyDescent="0.45"/>
    <row r="3" spans="2:14" ht="25.2" thickBot="1" x14ac:dyDescent="0.45">
      <c r="C3" s="129" t="s">
        <v>0</v>
      </c>
      <c r="D3" s="130"/>
    </row>
    <row r="5" spans="2:14" ht="23.4" thickBot="1" x14ac:dyDescent="0.35">
      <c r="B5" s="2" t="s">
        <v>1</v>
      </c>
      <c r="C5" s="2" t="s">
        <v>2</v>
      </c>
      <c r="D5" s="2" t="s">
        <v>3</v>
      </c>
      <c r="E5" s="2" t="s">
        <v>4</v>
      </c>
      <c r="H5" s="2" t="s">
        <v>1</v>
      </c>
      <c r="I5" s="2" t="s">
        <v>2</v>
      </c>
      <c r="J5" s="2" t="s">
        <v>3</v>
      </c>
      <c r="K5" s="2" t="s">
        <v>4</v>
      </c>
      <c r="N5" s="2" t="s">
        <v>2</v>
      </c>
    </row>
    <row r="6" spans="2:14" x14ac:dyDescent="0.3">
      <c r="B6" s="3" t="s">
        <v>5</v>
      </c>
      <c r="C6" s="3" t="s">
        <v>6</v>
      </c>
      <c r="D6" s="3" t="s">
        <v>7</v>
      </c>
      <c r="E6" s="4">
        <v>20000</v>
      </c>
      <c r="H6" t="str" cm="1">
        <f t="array" ref="H6:K7">_xlfn._xlws.FILTER(B5:E13,C5:C13=N6)</f>
        <v>Mahi</v>
      </c>
      <c r="I6" t="str">
        <v>Faridabad</v>
      </c>
      <c r="J6" t="str">
        <v>Computer Operator</v>
      </c>
      <c r="K6">
        <v>20000</v>
      </c>
      <c r="N6" t="s">
        <v>6</v>
      </c>
    </row>
    <row r="7" spans="2:14" x14ac:dyDescent="0.3">
      <c r="B7" s="3" t="s">
        <v>8</v>
      </c>
      <c r="C7" s="3" t="s">
        <v>9</v>
      </c>
      <c r="D7" s="3" t="s">
        <v>10</v>
      </c>
      <c r="E7" s="4">
        <v>40000</v>
      </c>
      <c r="H7" t="str">
        <v>Aamna</v>
      </c>
      <c r="I7" t="str">
        <v>Faridabad</v>
      </c>
      <c r="J7" t="str">
        <v>Computer Operator</v>
      </c>
      <c r="K7">
        <v>25000</v>
      </c>
    </row>
    <row r="8" spans="2:14" x14ac:dyDescent="0.3">
      <c r="B8" s="3" t="s">
        <v>11</v>
      </c>
      <c r="C8" s="3" t="s">
        <v>12</v>
      </c>
      <c r="D8" s="3" t="s">
        <v>13</v>
      </c>
      <c r="E8" s="4">
        <v>30000</v>
      </c>
    </row>
    <row r="9" spans="2:14" x14ac:dyDescent="0.3">
      <c r="B9" s="3" t="s">
        <v>14</v>
      </c>
      <c r="C9" s="3" t="s">
        <v>15</v>
      </c>
      <c r="D9" s="3" t="s">
        <v>16</v>
      </c>
      <c r="E9" s="4">
        <v>35000</v>
      </c>
    </row>
    <row r="10" spans="2:14" x14ac:dyDescent="0.3">
      <c r="B10" s="3" t="s">
        <v>17</v>
      </c>
      <c r="C10" s="3" t="s">
        <v>6</v>
      </c>
      <c r="D10" s="3" t="s">
        <v>7</v>
      </c>
      <c r="E10" s="4">
        <v>25000</v>
      </c>
    </row>
    <row r="11" spans="2:14" x14ac:dyDescent="0.3">
      <c r="B11" s="3" t="s">
        <v>18</v>
      </c>
      <c r="C11" s="3" t="s">
        <v>9</v>
      </c>
      <c r="D11" s="3" t="s">
        <v>19</v>
      </c>
      <c r="E11" s="4">
        <v>20000</v>
      </c>
    </row>
    <row r="12" spans="2:14" x14ac:dyDescent="0.3">
      <c r="B12" s="3" t="s">
        <v>20</v>
      </c>
      <c r="C12" s="3" t="s">
        <v>12</v>
      </c>
      <c r="D12" s="3" t="s">
        <v>21</v>
      </c>
      <c r="E12" s="4">
        <v>60000</v>
      </c>
    </row>
    <row r="13" spans="2:14" ht="23.4" thickBot="1" x14ac:dyDescent="0.35">
      <c r="B13" s="5" t="s">
        <v>22</v>
      </c>
      <c r="C13" s="5" t="s">
        <v>15</v>
      </c>
      <c r="D13" s="5" t="s">
        <v>23</v>
      </c>
      <c r="E13" s="6">
        <v>45000</v>
      </c>
    </row>
  </sheetData>
  <mergeCells count="1">
    <mergeCell ref="C3:D3"/>
  </mergeCells>
  <dataValidations count="1">
    <dataValidation type="list" allowBlank="1" showInputMessage="1" showErrorMessage="1" sqref="N6" xr:uid="{DC6EDE73-26D5-423B-AE2F-3618D28811A0}">
      <formula1>$C$6:$C$13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8033-54C8-417F-A326-916E96B72194}">
  <sheetPr>
    <tabColor rgb="FFC00000"/>
  </sheetPr>
  <dimension ref="A1"/>
  <sheetViews>
    <sheetView workbookViewId="0">
      <selection activeCell="G10" sqref="G10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A670-5CCE-4C20-9297-491FC1EC20E6}">
  <sheetPr>
    <tabColor theme="7"/>
  </sheetPr>
  <dimension ref="B2:T117"/>
  <sheetViews>
    <sheetView topLeftCell="A17" workbookViewId="0">
      <selection activeCell="C7" sqref="C7"/>
    </sheetView>
  </sheetViews>
  <sheetFormatPr defaultRowHeight="14.4" x14ac:dyDescent="0.3"/>
  <cols>
    <col min="2" max="2" width="5.6640625" bestFit="1" customWidth="1"/>
    <col min="3" max="3" width="31" bestFit="1" customWidth="1"/>
    <col min="4" max="4" width="11" bestFit="1" customWidth="1"/>
    <col min="5" max="5" width="33.6640625" bestFit="1" customWidth="1"/>
    <col min="6" max="6" width="18.6640625" bestFit="1" customWidth="1"/>
    <col min="7" max="7" width="15.109375" bestFit="1" customWidth="1"/>
    <col min="8" max="8" width="7.44140625" bestFit="1" customWidth="1"/>
    <col min="9" max="9" width="5.5546875" bestFit="1" customWidth="1"/>
    <col min="10" max="11" width="7.44140625" bestFit="1" customWidth="1"/>
    <col min="12" max="12" width="13.109375" bestFit="1" customWidth="1"/>
    <col min="13" max="13" width="12.109375" bestFit="1" customWidth="1"/>
    <col min="14" max="14" width="16.6640625" customWidth="1"/>
    <col min="15" max="15" width="13.33203125" customWidth="1"/>
    <col min="16" max="16" width="13.44140625" customWidth="1"/>
    <col min="17" max="17" width="15.6640625" customWidth="1"/>
    <col min="19" max="19" width="10.5546875" bestFit="1" customWidth="1"/>
  </cols>
  <sheetData>
    <row r="2" spans="2:19" ht="33.6" x14ac:dyDescent="0.65">
      <c r="E2" s="9" t="s">
        <v>24</v>
      </c>
    </row>
    <row r="9" spans="2:19" ht="28.8" x14ac:dyDescent="0.3">
      <c r="B9" s="7" t="s">
        <v>25</v>
      </c>
      <c r="C9" s="7" t="s">
        <v>26</v>
      </c>
      <c r="D9" s="7" t="s">
        <v>27</v>
      </c>
      <c r="E9" s="7" t="s">
        <v>28</v>
      </c>
      <c r="F9" s="7" t="s">
        <v>29</v>
      </c>
      <c r="G9" s="7" t="s">
        <v>30</v>
      </c>
      <c r="H9" s="7" t="s">
        <v>31</v>
      </c>
      <c r="I9" s="7" t="s">
        <v>32</v>
      </c>
      <c r="J9" s="7" t="s">
        <v>33</v>
      </c>
      <c r="K9" s="7" t="s">
        <v>34</v>
      </c>
      <c r="L9" s="8" t="s">
        <v>35</v>
      </c>
      <c r="M9" s="7" t="s">
        <v>36</v>
      </c>
      <c r="N9" s="7" t="s">
        <v>37</v>
      </c>
      <c r="O9" s="7" t="s">
        <v>38</v>
      </c>
      <c r="P9" s="8" t="s">
        <v>39</v>
      </c>
      <c r="Q9" s="8" t="s">
        <v>40</v>
      </c>
    </row>
    <row r="10" spans="2:19" x14ac:dyDescent="0.3">
      <c r="B10" s="10">
        <v>1</v>
      </c>
      <c r="C10" s="10" t="s">
        <v>41</v>
      </c>
      <c r="D10" s="11">
        <v>45964</v>
      </c>
      <c r="E10" s="10" t="s">
        <v>42</v>
      </c>
      <c r="F10" s="10" t="s">
        <v>43</v>
      </c>
      <c r="G10" s="10">
        <v>4911</v>
      </c>
      <c r="H10" s="10">
        <v>99807</v>
      </c>
      <c r="I10" s="10"/>
      <c r="J10" s="10"/>
      <c r="K10" s="10">
        <v>99807</v>
      </c>
      <c r="L10" s="17">
        <v>99807</v>
      </c>
      <c r="M10" s="17">
        <f>L10*9%</f>
        <v>8982.6299999999992</v>
      </c>
      <c r="N10" s="17">
        <f>L10*9%</f>
        <v>8982.6299999999992</v>
      </c>
      <c r="O10" s="17">
        <v>0</v>
      </c>
      <c r="P10" s="17">
        <v>0</v>
      </c>
      <c r="Q10" s="17">
        <f>SUM(L10:P10)</f>
        <v>117772.26000000001</v>
      </c>
      <c r="R10" s="20"/>
      <c r="S10" s="19"/>
    </row>
    <row r="11" spans="2:19" x14ac:dyDescent="0.3">
      <c r="B11" s="10">
        <v>2</v>
      </c>
      <c r="C11" s="10" t="s">
        <v>44</v>
      </c>
      <c r="D11" s="11">
        <v>45964</v>
      </c>
      <c r="E11" s="10" t="s">
        <v>45</v>
      </c>
      <c r="F11" s="10" t="s">
        <v>46</v>
      </c>
      <c r="G11" s="10">
        <v>4820</v>
      </c>
      <c r="H11" s="10">
        <v>4</v>
      </c>
      <c r="I11" s="10"/>
      <c r="J11" s="10"/>
      <c r="K11" s="10">
        <v>4</v>
      </c>
      <c r="L11" s="17">
        <v>3800</v>
      </c>
      <c r="M11" s="17">
        <f t="shared" ref="M11:M47" si="0">L11*9%</f>
        <v>342</v>
      </c>
      <c r="N11" s="17">
        <f t="shared" ref="N11:N47" si="1">L11*9%</f>
        <v>342</v>
      </c>
      <c r="O11" s="17">
        <v>0</v>
      </c>
      <c r="P11" s="17">
        <v>0</v>
      </c>
      <c r="Q11" s="17">
        <f t="shared" ref="Q11:Q47" si="2">SUM(L11:P11)</f>
        <v>4484</v>
      </c>
      <c r="R11" s="20"/>
      <c r="S11" s="19"/>
    </row>
    <row r="12" spans="2:19" x14ac:dyDescent="0.3">
      <c r="B12" s="10">
        <v>3</v>
      </c>
      <c r="C12" s="10" t="s">
        <v>47</v>
      </c>
      <c r="D12" s="11">
        <v>45965</v>
      </c>
      <c r="E12" s="10" t="s">
        <v>48</v>
      </c>
      <c r="F12" s="10" t="s">
        <v>49</v>
      </c>
      <c r="G12" s="10">
        <v>96100000</v>
      </c>
      <c r="H12" s="10"/>
      <c r="I12" s="10"/>
      <c r="J12" s="10">
        <v>29032</v>
      </c>
      <c r="K12" s="10">
        <v>29032</v>
      </c>
      <c r="L12" s="17">
        <v>26999.759999999998</v>
      </c>
      <c r="M12" s="17">
        <v>0</v>
      </c>
      <c r="N12" s="17">
        <v>0</v>
      </c>
      <c r="O12" s="17">
        <f>L12*18%</f>
        <v>4859.9567999999999</v>
      </c>
      <c r="P12" s="17">
        <v>0</v>
      </c>
      <c r="Q12" s="17">
        <f t="shared" si="2"/>
        <v>31859.716799999998</v>
      </c>
      <c r="R12" s="20"/>
      <c r="S12" s="19"/>
    </row>
    <row r="13" spans="2:19" x14ac:dyDescent="0.3">
      <c r="B13" s="10">
        <v>4</v>
      </c>
      <c r="C13" s="10" t="s">
        <v>50</v>
      </c>
      <c r="D13" s="11">
        <v>45965</v>
      </c>
      <c r="E13" s="10" t="s">
        <v>51</v>
      </c>
      <c r="F13" s="10" t="s">
        <v>52</v>
      </c>
      <c r="G13" s="10">
        <v>7219</v>
      </c>
      <c r="H13" s="10">
        <v>100</v>
      </c>
      <c r="I13" s="10"/>
      <c r="J13" s="10"/>
      <c r="K13" s="10">
        <v>100</v>
      </c>
      <c r="L13" s="17">
        <v>105559</v>
      </c>
      <c r="M13" s="17">
        <v>0</v>
      </c>
      <c r="N13" s="17">
        <v>0</v>
      </c>
      <c r="O13" s="17">
        <f t="shared" ref="O13:O47" si="3">L13*18%</f>
        <v>19000.62</v>
      </c>
      <c r="P13" s="17">
        <v>0</v>
      </c>
      <c r="Q13" s="17">
        <f t="shared" si="2"/>
        <v>124559.62</v>
      </c>
      <c r="R13" s="20"/>
      <c r="S13" s="19"/>
    </row>
    <row r="14" spans="2:19" x14ac:dyDescent="0.3">
      <c r="B14" s="10">
        <v>5</v>
      </c>
      <c r="C14" s="10" t="s">
        <v>53</v>
      </c>
      <c r="D14" s="11">
        <v>45965</v>
      </c>
      <c r="E14" s="10" t="s">
        <v>54</v>
      </c>
      <c r="F14" s="10" t="s">
        <v>55</v>
      </c>
      <c r="G14" s="10">
        <v>7219</v>
      </c>
      <c r="H14" s="10"/>
      <c r="I14" s="10"/>
      <c r="J14" s="10">
        <v>4370</v>
      </c>
      <c r="K14" s="10">
        <v>4370</v>
      </c>
      <c r="L14" s="17">
        <v>45885</v>
      </c>
      <c r="M14" s="17">
        <f t="shared" si="0"/>
        <v>4129.6499999999996</v>
      </c>
      <c r="N14" s="17">
        <f t="shared" si="1"/>
        <v>4129.6499999999996</v>
      </c>
      <c r="O14" s="17">
        <v>0</v>
      </c>
      <c r="P14" s="17">
        <v>0</v>
      </c>
      <c r="Q14" s="17">
        <f t="shared" si="2"/>
        <v>54144.3</v>
      </c>
      <c r="R14" s="20"/>
      <c r="S14" s="19"/>
    </row>
    <row r="15" spans="2:19" x14ac:dyDescent="0.3">
      <c r="B15" s="10">
        <v>6</v>
      </c>
      <c r="C15" s="10" t="s">
        <v>56</v>
      </c>
      <c r="D15" s="11">
        <v>45966</v>
      </c>
      <c r="E15" s="10" t="s">
        <v>57</v>
      </c>
      <c r="F15" s="10" t="s">
        <v>58</v>
      </c>
      <c r="G15" s="10">
        <v>4820</v>
      </c>
      <c r="H15" s="10">
        <v>497</v>
      </c>
      <c r="I15" s="10"/>
      <c r="J15" s="10"/>
      <c r="K15" s="10">
        <v>497</v>
      </c>
      <c r="L15" s="17">
        <v>40257</v>
      </c>
      <c r="M15" s="17">
        <f>L15*9%</f>
        <v>3623.1299999999997</v>
      </c>
      <c r="N15" s="17">
        <f>L15*9%</f>
        <v>3623.1299999999997</v>
      </c>
      <c r="O15" s="17">
        <v>0</v>
      </c>
      <c r="P15" s="17">
        <v>0</v>
      </c>
      <c r="Q15" s="17">
        <f t="shared" si="2"/>
        <v>47503.259999999995</v>
      </c>
      <c r="R15" s="20"/>
      <c r="S15" s="19"/>
    </row>
    <row r="16" spans="2:19" x14ac:dyDescent="0.3">
      <c r="B16" s="12">
        <v>7</v>
      </c>
      <c r="C16" s="12" t="s">
        <v>59</v>
      </c>
      <c r="D16" s="12" t="s">
        <v>60</v>
      </c>
      <c r="E16" s="12"/>
      <c r="F16" s="12"/>
      <c r="G16" s="12"/>
      <c r="H16" s="12"/>
      <c r="I16" s="12"/>
      <c r="J16" s="12"/>
      <c r="K16" s="12"/>
      <c r="L16" s="21"/>
      <c r="M16" s="22">
        <f>L16*9%</f>
        <v>0</v>
      </c>
      <c r="N16" s="22">
        <f>L16*9%</f>
        <v>0</v>
      </c>
      <c r="O16" s="22">
        <f t="shared" si="3"/>
        <v>0</v>
      </c>
      <c r="P16" s="22">
        <v>0</v>
      </c>
      <c r="Q16" s="22">
        <f t="shared" si="2"/>
        <v>0</v>
      </c>
      <c r="R16" s="20"/>
      <c r="S16" s="19"/>
    </row>
    <row r="17" spans="2:19" x14ac:dyDescent="0.3">
      <c r="B17" s="10">
        <v>8</v>
      </c>
      <c r="C17" s="10" t="s">
        <v>61</v>
      </c>
      <c r="D17" s="11">
        <v>45967</v>
      </c>
      <c r="E17" s="10" t="s">
        <v>42</v>
      </c>
      <c r="F17" s="10" t="s">
        <v>43</v>
      </c>
      <c r="G17" s="10">
        <v>4911</v>
      </c>
      <c r="H17" s="10"/>
      <c r="I17" s="10">
        <v>48</v>
      </c>
      <c r="J17" s="10"/>
      <c r="K17" s="10">
        <v>48</v>
      </c>
      <c r="L17" s="17">
        <v>3552</v>
      </c>
      <c r="M17" s="17">
        <f t="shared" si="0"/>
        <v>319.68</v>
      </c>
      <c r="N17" s="17">
        <f t="shared" si="1"/>
        <v>319.68</v>
      </c>
      <c r="O17" s="17">
        <v>0</v>
      </c>
      <c r="P17" s="17">
        <v>0</v>
      </c>
      <c r="Q17" s="17">
        <f t="shared" si="2"/>
        <v>4191.3599999999997</v>
      </c>
      <c r="R17" s="20"/>
      <c r="S17" s="19"/>
    </row>
    <row r="18" spans="2:19" x14ac:dyDescent="0.3">
      <c r="B18" s="10">
        <v>9</v>
      </c>
      <c r="C18" s="10" t="s">
        <v>62</v>
      </c>
      <c r="D18" s="11">
        <v>45968</v>
      </c>
      <c r="E18" s="10" t="s">
        <v>63</v>
      </c>
      <c r="F18" s="10" t="s">
        <v>64</v>
      </c>
      <c r="G18" s="10">
        <v>7610</v>
      </c>
      <c r="H18" s="10">
        <v>2</v>
      </c>
      <c r="I18" s="10"/>
      <c r="J18" s="10"/>
      <c r="K18" s="10">
        <v>2</v>
      </c>
      <c r="L18" s="17">
        <v>5100</v>
      </c>
      <c r="M18" s="17">
        <f t="shared" si="0"/>
        <v>459</v>
      </c>
      <c r="N18" s="17">
        <f t="shared" si="1"/>
        <v>459</v>
      </c>
      <c r="O18" s="17">
        <v>0</v>
      </c>
      <c r="P18" s="17">
        <v>0</v>
      </c>
      <c r="Q18" s="17">
        <f t="shared" si="2"/>
        <v>6018</v>
      </c>
      <c r="R18" s="20"/>
      <c r="S18" s="19"/>
    </row>
    <row r="19" spans="2:19" x14ac:dyDescent="0.3">
      <c r="B19" s="10">
        <v>10</v>
      </c>
      <c r="C19" s="10" t="s">
        <v>65</v>
      </c>
      <c r="D19" s="11">
        <v>45971</v>
      </c>
      <c r="E19" s="10" t="s">
        <v>66</v>
      </c>
      <c r="F19" s="10" t="s">
        <v>67</v>
      </c>
      <c r="G19" s="10">
        <v>4911</v>
      </c>
      <c r="H19" s="10"/>
      <c r="I19" s="10"/>
      <c r="J19" s="10">
        <v>2448</v>
      </c>
      <c r="K19" s="10">
        <v>2448</v>
      </c>
      <c r="L19" s="17">
        <v>5164</v>
      </c>
      <c r="M19" s="17">
        <v>0</v>
      </c>
      <c r="N19" s="17">
        <v>0</v>
      </c>
      <c r="O19" s="17">
        <f t="shared" si="3"/>
        <v>929.52</v>
      </c>
      <c r="P19" s="17">
        <v>0</v>
      </c>
      <c r="Q19" s="17">
        <f t="shared" si="2"/>
        <v>6093.52</v>
      </c>
      <c r="R19" s="20"/>
      <c r="S19" s="19"/>
    </row>
    <row r="20" spans="2:19" x14ac:dyDescent="0.3">
      <c r="B20" s="10">
        <v>11</v>
      </c>
      <c r="C20" s="10" t="s">
        <v>68</v>
      </c>
      <c r="D20" s="11">
        <v>45971</v>
      </c>
      <c r="E20" s="10" t="s">
        <v>69</v>
      </c>
      <c r="F20" s="10" t="s">
        <v>70</v>
      </c>
      <c r="G20" s="10">
        <v>76169990</v>
      </c>
      <c r="H20" s="10">
        <v>3</v>
      </c>
      <c r="I20" s="10"/>
      <c r="J20" s="10"/>
      <c r="K20" s="10">
        <v>3</v>
      </c>
      <c r="L20" s="17">
        <v>4500</v>
      </c>
      <c r="M20" s="17">
        <f t="shared" si="0"/>
        <v>405</v>
      </c>
      <c r="N20" s="17">
        <f t="shared" si="1"/>
        <v>405</v>
      </c>
      <c r="O20" s="17">
        <v>0</v>
      </c>
      <c r="P20" s="17">
        <v>0</v>
      </c>
      <c r="Q20" s="17">
        <f t="shared" si="2"/>
        <v>5310</v>
      </c>
      <c r="R20" s="20"/>
      <c r="S20" s="19"/>
    </row>
    <row r="21" spans="2:19" x14ac:dyDescent="0.3">
      <c r="B21" s="10">
        <v>12</v>
      </c>
      <c r="C21" s="10" t="s">
        <v>71</v>
      </c>
      <c r="D21" s="11">
        <v>45971</v>
      </c>
      <c r="E21" s="10" t="s">
        <v>54</v>
      </c>
      <c r="F21" s="10" t="s">
        <v>55</v>
      </c>
      <c r="G21" s="10">
        <v>7219</v>
      </c>
      <c r="H21" s="10"/>
      <c r="I21" s="10"/>
      <c r="J21" s="10">
        <v>4078</v>
      </c>
      <c r="K21" s="10">
        <v>4078</v>
      </c>
      <c r="L21" s="17">
        <v>42819</v>
      </c>
      <c r="M21" s="17">
        <f t="shared" si="0"/>
        <v>3853.71</v>
      </c>
      <c r="N21" s="17">
        <f t="shared" si="1"/>
        <v>3853.71</v>
      </c>
      <c r="O21" s="17">
        <v>0</v>
      </c>
      <c r="P21" s="17">
        <v>0</v>
      </c>
      <c r="Q21" s="17">
        <f t="shared" si="2"/>
        <v>50526.42</v>
      </c>
      <c r="R21" s="20"/>
      <c r="S21" s="19"/>
    </row>
    <row r="22" spans="2:19" x14ac:dyDescent="0.3">
      <c r="B22" s="10">
        <v>13</v>
      </c>
      <c r="C22" s="10" t="s">
        <v>72</v>
      </c>
      <c r="D22" s="11">
        <v>45973</v>
      </c>
      <c r="E22" s="10" t="s">
        <v>48</v>
      </c>
      <c r="F22" s="10" t="s">
        <v>49</v>
      </c>
      <c r="G22" s="10">
        <v>49110000</v>
      </c>
      <c r="H22" s="10">
        <v>6</v>
      </c>
      <c r="I22" s="10"/>
      <c r="J22" s="10"/>
      <c r="K22" s="10">
        <v>6</v>
      </c>
      <c r="L22" s="17">
        <v>10740</v>
      </c>
      <c r="M22" s="17">
        <v>0</v>
      </c>
      <c r="N22" s="17">
        <v>0</v>
      </c>
      <c r="O22" s="17">
        <f t="shared" si="3"/>
        <v>1933.1999999999998</v>
      </c>
      <c r="P22" s="17">
        <v>0</v>
      </c>
      <c r="Q22" s="17">
        <f t="shared" si="2"/>
        <v>12673.2</v>
      </c>
      <c r="R22" s="20"/>
      <c r="S22" s="19"/>
    </row>
    <row r="23" spans="2:19" x14ac:dyDescent="0.3">
      <c r="B23" s="10">
        <v>14</v>
      </c>
      <c r="C23" s="10" t="s">
        <v>73</v>
      </c>
      <c r="D23" s="11">
        <v>45974</v>
      </c>
      <c r="E23" s="10" t="s">
        <v>45</v>
      </c>
      <c r="F23" s="10" t="s">
        <v>46</v>
      </c>
      <c r="G23" s="10">
        <v>4820</v>
      </c>
      <c r="H23" s="10">
        <v>1</v>
      </c>
      <c r="I23" s="10"/>
      <c r="J23" s="10"/>
      <c r="K23" s="10">
        <v>1</v>
      </c>
      <c r="L23" s="17">
        <v>2981</v>
      </c>
      <c r="M23" s="17">
        <f t="shared" si="0"/>
        <v>268.28999999999996</v>
      </c>
      <c r="N23" s="17">
        <f t="shared" si="1"/>
        <v>268.28999999999996</v>
      </c>
      <c r="O23" s="17">
        <v>0</v>
      </c>
      <c r="P23" s="17">
        <v>0</v>
      </c>
      <c r="Q23" s="17">
        <f t="shared" si="2"/>
        <v>3517.58</v>
      </c>
      <c r="R23" s="20"/>
      <c r="S23" s="19"/>
    </row>
    <row r="24" spans="2:19" x14ac:dyDescent="0.3">
      <c r="B24" s="10">
        <v>15</v>
      </c>
      <c r="C24" s="10" t="s">
        <v>74</v>
      </c>
      <c r="D24" s="11">
        <v>45978</v>
      </c>
      <c r="E24" s="10" t="s">
        <v>75</v>
      </c>
      <c r="F24" s="10" t="s">
        <v>76</v>
      </c>
      <c r="G24" s="10">
        <v>3919</v>
      </c>
      <c r="H24" s="10">
        <v>5515</v>
      </c>
      <c r="I24" s="10"/>
      <c r="J24" s="10"/>
      <c r="K24" s="10">
        <v>5515</v>
      </c>
      <c r="L24" s="17">
        <v>60665</v>
      </c>
      <c r="M24" s="17">
        <v>0</v>
      </c>
      <c r="N24" s="17">
        <v>0</v>
      </c>
      <c r="O24" s="17">
        <f t="shared" si="3"/>
        <v>10919.699999999999</v>
      </c>
      <c r="P24" s="17">
        <v>0</v>
      </c>
      <c r="Q24" s="17">
        <f t="shared" si="2"/>
        <v>71584.7</v>
      </c>
      <c r="R24" s="20"/>
      <c r="S24" s="19"/>
    </row>
    <row r="25" spans="2:19" x14ac:dyDescent="0.3">
      <c r="B25" s="10">
        <v>16</v>
      </c>
      <c r="C25" s="10" t="s">
        <v>77</v>
      </c>
      <c r="D25" s="11">
        <v>45979</v>
      </c>
      <c r="E25" s="10" t="s">
        <v>57</v>
      </c>
      <c r="F25" s="10" t="s">
        <v>58</v>
      </c>
      <c r="G25" s="10">
        <v>4820</v>
      </c>
      <c r="H25" s="10"/>
      <c r="I25" s="10"/>
      <c r="J25" s="10">
        <v>384000</v>
      </c>
      <c r="K25" s="10">
        <v>384000</v>
      </c>
      <c r="L25" s="17">
        <v>15360</v>
      </c>
      <c r="M25" s="17">
        <f t="shared" si="0"/>
        <v>1382.3999999999999</v>
      </c>
      <c r="N25" s="17">
        <f t="shared" si="1"/>
        <v>1382.3999999999999</v>
      </c>
      <c r="O25" s="17">
        <v>0</v>
      </c>
      <c r="P25" s="17">
        <v>0</v>
      </c>
      <c r="Q25" s="17">
        <f t="shared" si="2"/>
        <v>18124.800000000003</v>
      </c>
      <c r="R25" s="20"/>
      <c r="S25" s="19"/>
    </row>
    <row r="26" spans="2:19" x14ac:dyDescent="0.3">
      <c r="B26" s="10">
        <v>17</v>
      </c>
      <c r="C26" s="10" t="s">
        <v>78</v>
      </c>
      <c r="D26" s="11">
        <v>45979</v>
      </c>
      <c r="E26" s="10" t="s">
        <v>57</v>
      </c>
      <c r="F26" s="10" t="s">
        <v>58</v>
      </c>
      <c r="G26" s="10">
        <v>3920</v>
      </c>
      <c r="H26" s="10">
        <v>72</v>
      </c>
      <c r="I26" s="10"/>
      <c r="J26" s="10"/>
      <c r="K26" s="10">
        <v>72</v>
      </c>
      <c r="L26" s="17">
        <v>7934.6</v>
      </c>
      <c r="M26" s="17">
        <f t="shared" si="0"/>
        <v>714.11400000000003</v>
      </c>
      <c r="N26" s="17">
        <f t="shared" si="1"/>
        <v>714.11400000000003</v>
      </c>
      <c r="O26" s="17">
        <v>0</v>
      </c>
      <c r="P26" s="17">
        <v>0</v>
      </c>
      <c r="Q26" s="17">
        <f t="shared" si="2"/>
        <v>9362.8279999999995</v>
      </c>
      <c r="R26" s="20"/>
      <c r="S26" s="19"/>
    </row>
    <row r="27" spans="2:19" x14ac:dyDescent="0.3">
      <c r="B27" s="10">
        <v>18</v>
      </c>
      <c r="C27" s="10" t="s">
        <v>79</v>
      </c>
      <c r="D27" s="11">
        <v>45979</v>
      </c>
      <c r="E27" s="10" t="s">
        <v>57</v>
      </c>
      <c r="F27" s="10" t="s">
        <v>58</v>
      </c>
      <c r="G27" s="10">
        <v>4911</v>
      </c>
      <c r="H27" s="10"/>
      <c r="I27" s="10">
        <v>162</v>
      </c>
      <c r="J27" s="10"/>
      <c r="K27" s="10">
        <v>162</v>
      </c>
      <c r="L27" s="17">
        <v>21829</v>
      </c>
      <c r="M27" s="17">
        <f t="shared" si="0"/>
        <v>1964.61</v>
      </c>
      <c r="N27" s="17">
        <f t="shared" si="1"/>
        <v>1964.61</v>
      </c>
      <c r="O27" s="17">
        <v>0</v>
      </c>
      <c r="P27" s="17">
        <v>0</v>
      </c>
      <c r="Q27" s="17">
        <f t="shared" si="2"/>
        <v>25758.22</v>
      </c>
      <c r="R27" s="20"/>
      <c r="S27" s="19"/>
    </row>
    <row r="28" spans="2:19" x14ac:dyDescent="0.3">
      <c r="B28" s="10">
        <v>19</v>
      </c>
      <c r="C28" s="10" t="s">
        <v>80</v>
      </c>
      <c r="D28" s="11">
        <v>45979</v>
      </c>
      <c r="E28" s="10" t="s">
        <v>57</v>
      </c>
      <c r="F28" s="10" t="s">
        <v>58</v>
      </c>
      <c r="G28" s="10">
        <v>4820</v>
      </c>
      <c r="H28" s="10">
        <v>3</v>
      </c>
      <c r="I28" s="10"/>
      <c r="J28" s="10"/>
      <c r="K28" s="10">
        <v>3</v>
      </c>
      <c r="L28" s="17">
        <v>243</v>
      </c>
      <c r="M28" s="17">
        <f t="shared" si="0"/>
        <v>21.869999999999997</v>
      </c>
      <c r="N28" s="17">
        <f t="shared" si="1"/>
        <v>21.869999999999997</v>
      </c>
      <c r="O28" s="17">
        <v>0</v>
      </c>
      <c r="P28" s="17">
        <v>0</v>
      </c>
      <c r="Q28" s="17">
        <f t="shared" si="2"/>
        <v>286.74</v>
      </c>
      <c r="R28" s="20"/>
      <c r="S28" s="19"/>
    </row>
    <row r="29" spans="2:19" x14ac:dyDescent="0.3">
      <c r="B29" s="10">
        <v>20</v>
      </c>
      <c r="C29" s="10" t="s">
        <v>81</v>
      </c>
      <c r="D29" s="11">
        <v>45980</v>
      </c>
      <c r="E29" s="10" t="s">
        <v>69</v>
      </c>
      <c r="F29" s="10" t="s">
        <v>70</v>
      </c>
      <c r="G29" s="10">
        <v>995461</v>
      </c>
      <c r="H29" s="10">
        <v>1</v>
      </c>
      <c r="I29" s="10"/>
      <c r="J29" s="10"/>
      <c r="K29" s="10">
        <v>1</v>
      </c>
      <c r="L29" s="17">
        <v>25500</v>
      </c>
      <c r="M29" s="17">
        <f t="shared" si="0"/>
        <v>2295</v>
      </c>
      <c r="N29" s="17">
        <f t="shared" si="1"/>
        <v>2295</v>
      </c>
      <c r="O29" s="17">
        <v>0</v>
      </c>
      <c r="P29" s="17">
        <v>0</v>
      </c>
      <c r="Q29" s="17">
        <f t="shared" si="2"/>
        <v>30090</v>
      </c>
      <c r="R29" s="20"/>
      <c r="S29" s="19"/>
    </row>
    <row r="30" spans="2:19" x14ac:dyDescent="0.3">
      <c r="B30" s="10">
        <v>21</v>
      </c>
      <c r="C30" s="10" t="s">
        <v>82</v>
      </c>
      <c r="D30" s="11">
        <v>45980</v>
      </c>
      <c r="E30" s="10" t="s">
        <v>69</v>
      </c>
      <c r="F30" s="10" t="s">
        <v>70</v>
      </c>
      <c r="G30" s="10">
        <v>995461</v>
      </c>
      <c r="H30" s="10">
        <v>1</v>
      </c>
      <c r="I30" s="10"/>
      <c r="J30" s="10"/>
      <c r="K30" s="10">
        <v>1</v>
      </c>
      <c r="L30" s="17">
        <v>3500</v>
      </c>
      <c r="M30" s="17">
        <f t="shared" si="0"/>
        <v>315</v>
      </c>
      <c r="N30" s="17">
        <f t="shared" si="1"/>
        <v>315</v>
      </c>
      <c r="O30" s="17">
        <v>0</v>
      </c>
      <c r="P30" s="17">
        <v>0</v>
      </c>
      <c r="Q30" s="17">
        <f t="shared" si="2"/>
        <v>4130</v>
      </c>
      <c r="R30" s="20"/>
      <c r="S30" s="19"/>
    </row>
    <row r="31" spans="2:19" x14ac:dyDescent="0.3">
      <c r="B31" s="10">
        <v>22</v>
      </c>
      <c r="C31" s="10" t="s">
        <v>83</v>
      </c>
      <c r="D31" s="11">
        <v>45980</v>
      </c>
      <c r="E31" s="10" t="s">
        <v>84</v>
      </c>
      <c r="F31" s="10" t="s">
        <v>85</v>
      </c>
      <c r="G31" s="10">
        <v>3919</v>
      </c>
      <c r="H31" s="10">
        <v>9</v>
      </c>
      <c r="I31" s="10"/>
      <c r="J31" s="10"/>
      <c r="K31" s="10">
        <v>9</v>
      </c>
      <c r="L31" s="17">
        <v>18000</v>
      </c>
      <c r="M31" s="17">
        <v>0</v>
      </c>
      <c r="N31" s="17">
        <v>0</v>
      </c>
      <c r="O31" s="17">
        <f t="shared" si="3"/>
        <v>3240</v>
      </c>
      <c r="P31" s="17">
        <v>0</v>
      </c>
      <c r="Q31" s="17">
        <f t="shared" si="2"/>
        <v>21240</v>
      </c>
      <c r="R31" s="20"/>
      <c r="S31" s="19"/>
    </row>
    <row r="32" spans="2:19" x14ac:dyDescent="0.3">
      <c r="B32" s="10">
        <v>23</v>
      </c>
      <c r="C32" s="10" t="s">
        <v>86</v>
      </c>
      <c r="D32" s="11">
        <v>45980</v>
      </c>
      <c r="E32" s="10" t="s">
        <v>84</v>
      </c>
      <c r="F32" s="10" t="s">
        <v>85</v>
      </c>
      <c r="G32" s="10">
        <v>4820</v>
      </c>
      <c r="H32" s="10">
        <v>50</v>
      </c>
      <c r="I32" s="10"/>
      <c r="J32" s="10"/>
      <c r="K32" s="10">
        <v>50</v>
      </c>
      <c r="L32" s="17">
        <v>8800</v>
      </c>
      <c r="M32" s="17">
        <v>0</v>
      </c>
      <c r="N32" s="17">
        <v>0</v>
      </c>
      <c r="O32" s="17">
        <f t="shared" si="3"/>
        <v>1584</v>
      </c>
      <c r="P32" s="17">
        <v>0</v>
      </c>
      <c r="Q32" s="17">
        <f t="shared" si="2"/>
        <v>10384</v>
      </c>
      <c r="R32" s="20"/>
      <c r="S32" s="19"/>
    </row>
    <row r="33" spans="2:19" x14ac:dyDescent="0.3">
      <c r="B33" s="10">
        <v>24</v>
      </c>
      <c r="C33" s="10" t="s">
        <v>87</v>
      </c>
      <c r="D33" s="11">
        <v>45980</v>
      </c>
      <c r="E33" s="10" t="s">
        <v>84</v>
      </c>
      <c r="F33" s="10" t="s">
        <v>85</v>
      </c>
      <c r="G33" s="10">
        <v>4820</v>
      </c>
      <c r="H33" s="10">
        <v>1</v>
      </c>
      <c r="I33" s="10"/>
      <c r="J33" s="10"/>
      <c r="K33" s="10">
        <v>1</v>
      </c>
      <c r="L33" s="17">
        <v>2500</v>
      </c>
      <c r="M33" s="17">
        <v>0</v>
      </c>
      <c r="N33" s="17">
        <v>0</v>
      </c>
      <c r="O33" s="17">
        <f t="shared" si="3"/>
        <v>450</v>
      </c>
      <c r="P33" s="17">
        <v>0</v>
      </c>
      <c r="Q33" s="17">
        <f t="shared" si="2"/>
        <v>2950</v>
      </c>
      <c r="R33" s="20"/>
      <c r="S33" s="19"/>
    </row>
    <row r="34" spans="2:19" x14ac:dyDescent="0.3">
      <c r="B34" s="10">
        <v>25</v>
      </c>
      <c r="C34" s="10" t="s">
        <v>88</v>
      </c>
      <c r="D34" s="11">
        <v>45981</v>
      </c>
      <c r="E34" s="10" t="s">
        <v>89</v>
      </c>
      <c r="F34" s="10" t="s">
        <v>43</v>
      </c>
      <c r="G34" s="10">
        <v>8310</v>
      </c>
      <c r="H34" s="10">
        <v>300</v>
      </c>
      <c r="I34" s="10"/>
      <c r="J34" s="10"/>
      <c r="K34" s="10">
        <v>300</v>
      </c>
      <c r="L34" s="17">
        <v>4200</v>
      </c>
      <c r="M34" s="17">
        <f t="shared" si="0"/>
        <v>378</v>
      </c>
      <c r="N34" s="17">
        <f t="shared" si="1"/>
        <v>378</v>
      </c>
      <c r="O34" s="17">
        <v>0</v>
      </c>
      <c r="P34" s="17">
        <v>0</v>
      </c>
      <c r="Q34" s="17">
        <f t="shared" si="2"/>
        <v>4956</v>
      </c>
      <c r="R34" s="20"/>
      <c r="S34" s="19"/>
    </row>
    <row r="35" spans="2:19" x14ac:dyDescent="0.3">
      <c r="B35" s="10">
        <v>26</v>
      </c>
      <c r="C35" s="10" t="s">
        <v>90</v>
      </c>
      <c r="D35" s="11">
        <v>45981</v>
      </c>
      <c r="E35" s="10" t="s">
        <v>89</v>
      </c>
      <c r="F35" s="10" t="s">
        <v>43</v>
      </c>
      <c r="G35" s="10">
        <v>4911</v>
      </c>
      <c r="H35" s="10"/>
      <c r="I35" s="10">
        <v>127</v>
      </c>
      <c r="J35" s="10"/>
      <c r="K35" s="10">
        <v>127</v>
      </c>
      <c r="L35" s="17">
        <v>34418</v>
      </c>
      <c r="M35" s="17">
        <f t="shared" si="0"/>
        <v>3097.62</v>
      </c>
      <c r="N35" s="17">
        <f t="shared" si="1"/>
        <v>3097.62</v>
      </c>
      <c r="O35" s="17">
        <v>0</v>
      </c>
      <c r="P35" s="17">
        <v>0</v>
      </c>
      <c r="Q35" s="17">
        <f t="shared" si="2"/>
        <v>40613.240000000005</v>
      </c>
      <c r="R35" s="20"/>
      <c r="S35" s="19"/>
    </row>
    <row r="36" spans="2:19" x14ac:dyDescent="0.3">
      <c r="B36" s="10">
        <v>27</v>
      </c>
      <c r="C36" s="10" t="s">
        <v>91</v>
      </c>
      <c r="D36" s="11">
        <v>45981</v>
      </c>
      <c r="E36" s="10" t="s">
        <v>89</v>
      </c>
      <c r="F36" s="10" t="s">
        <v>43</v>
      </c>
      <c r="G36" s="10">
        <v>4911</v>
      </c>
      <c r="H36" s="10">
        <v>118532</v>
      </c>
      <c r="I36" s="10"/>
      <c r="J36" s="10"/>
      <c r="K36" s="10">
        <v>118532</v>
      </c>
      <c r="L36" s="17">
        <v>118532</v>
      </c>
      <c r="M36" s="17">
        <f t="shared" si="0"/>
        <v>10667.88</v>
      </c>
      <c r="N36" s="17">
        <f t="shared" si="1"/>
        <v>10667.88</v>
      </c>
      <c r="O36" s="17">
        <v>0</v>
      </c>
      <c r="P36" s="17">
        <v>0</v>
      </c>
      <c r="Q36" s="17">
        <f t="shared" si="2"/>
        <v>139867.76</v>
      </c>
      <c r="R36" s="20"/>
      <c r="S36" s="19"/>
    </row>
    <row r="37" spans="2:19" x14ac:dyDescent="0.3">
      <c r="B37" s="10">
        <v>28</v>
      </c>
      <c r="C37" s="10" t="s">
        <v>92</v>
      </c>
      <c r="D37" s="11">
        <v>45981</v>
      </c>
      <c r="E37" s="10" t="s">
        <v>93</v>
      </c>
      <c r="F37" s="10" t="s">
        <v>94</v>
      </c>
      <c r="G37" s="10">
        <v>3926</v>
      </c>
      <c r="H37" s="10">
        <v>1</v>
      </c>
      <c r="I37" s="10"/>
      <c r="J37" s="10"/>
      <c r="K37" s="10">
        <v>1</v>
      </c>
      <c r="L37" s="17">
        <v>22000</v>
      </c>
      <c r="M37" s="17">
        <f t="shared" si="0"/>
        <v>1980</v>
      </c>
      <c r="N37" s="17">
        <f t="shared" si="1"/>
        <v>1980</v>
      </c>
      <c r="O37" s="17">
        <v>0</v>
      </c>
      <c r="P37" s="17">
        <v>0</v>
      </c>
      <c r="Q37" s="17">
        <f t="shared" si="2"/>
        <v>25960</v>
      </c>
      <c r="R37" s="20"/>
      <c r="S37" s="19"/>
    </row>
    <row r="38" spans="2:19" x14ac:dyDescent="0.3">
      <c r="B38" s="10">
        <v>29</v>
      </c>
      <c r="C38" s="10" t="s">
        <v>95</v>
      </c>
      <c r="D38" s="11">
        <v>45982</v>
      </c>
      <c r="E38" s="10" t="s">
        <v>54</v>
      </c>
      <c r="F38" s="10" t="s">
        <v>55</v>
      </c>
      <c r="G38" s="10">
        <v>4820</v>
      </c>
      <c r="H38" s="10">
        <v>63000</v>
      </c>
      <c r="I38" s="10"/>
      <c r="J38" s="10"/>
      <c r="K38" s="10">
        <v>63000</v>
      </c>
      <c r="L38" s="17">
        <v>6142.5</v>
      </c>
      <c r="M38" s="17">
        <f t="shared" si="0"/>
        <v>552.82499999999993</v>
      </c>
      <c r="N38" s="17">
        <f t="shared" si="1"/>
        <v>552.82499999999993</v>
      </c>
      <c r="O38" s="17">
        <v>0</v>
      </c>
      <c r="P38" s="17">
        <v>0</v>
      </c>
      <c r="Q38" s="17">
        <f t="shared" si="2"/>
        <v>7248.15</v>
      </c>
      <c r="R38" s="20"/>
      <c r="S38" s="19"/>
    </row>
    <row r="39" spans="2:19" x14ac:dyDescent="0.3">
      <c r="B39" s="10">
        <v>30</v>
      </c>
      <c r="C39" s="10" t="s">
        <v>96</v>
      </c>
      <c r="D39" s="11">
        <v>45982</v>
      </c>
      <c r="E39" s="10" t="s">
        <v>54</v>
      </c>
      <c r="F39" s="10" t="s">
        <v>55</v>
      </c>
      <c r="G39" s="10">
        <v>3920</v>
      </c>
      <c r="H39" s="10">
        <v>50</v>
      </c>
      <c r="I39" s="10"/>
      <c r="J39" s="10"/>
      <c r="K39" s="10">
        <v>50</v>
      </c>
      <c r="L39" s="17">
        <v>6480</v>
      </c>
      <c r="M39" s="17">
        <f t="shared" si="0"/>
        <v>583.19999999999993</v>
      </c>
      <c r="N39" s="17">
        <f t="shared" si="1"/>
        <v>583.19999999999993</v>
      </c>
      <c r="O39" s="17">
        <v>0</v>
      </c>
      <c r="P39" s="17">
        <v>0</v>
      </c>
      <c r="Q39" s="17">
        <f t="shared" si="2"/>
        <v>7646.4</v>
      </c>
      <c r="R39" s="20"/>
      <c r="S39" s="19"/>
    </row>
    <row r="40" spans="2:19" x14ac:dyDescent="0.3">
      <c r="B40" s="10">
        <v>31</v>
      </c>
      <c r="C40" s="10" t="s">
        <v>97</v>
      </c>
      <c r="D40" s="11">
        <v>45982</v>
      </c>
      <c r="E40" s="10" t="s">
        <v>54</v>
      </c>
      <c r="F40" s="10" t="s">
        <v>55</v>
      </c>
      <c r="G40" s="10">
        <v>3920</v>
      </c>
      <c r="H40" s="10">
        <v>17</v>
      </c>
      <c r="I40" s="10"/>
      <c r="J40" s="10"/>
      <c r="K40" s="10">
        <v>17</v>
      </c>
      <c r="L40" s="17">
        <v>11577</v>
      </c>
      <c r="M40" s="17">
        <f t="shared" si="0"/>
        <v>1041.93</v>
      </c>
      <c r="N40" s="17">
        <f t="shared" si="1"/>
        <v>1041.93</v>
      </c>
      <c r="O40" s="17">
        <v>0</v>
      </c>
      <c r="P40" s="17">
        <v>0</v>
      </c>
      <c r="Q40" s="17">
        <f t="shared" si="2"/>
        <v>13660.86</v>
      </c>
      <c r="R40" s="20"/>
      <c r="S40" s="19"/>
    </row>
    <row r="41" spans="2:19" x14ac:dyDescent="0.3">
      <c r="B41" s="10">
        <v>32</v>
      </c>
      <c r="C41" s="10" t="s">
        <v>98</v>
      </c>
      <c r="D41" s="11">
        <v>45982</v>
      </c>
      <c r="E41" s="10" t="s">
        <v>54</v>
      </c>
      <c r="F41" s="10" t="s">
        <v>99</v>
      </c>
      <c r="G41" s="10">
        <v>7219</v>
      </c>
      <c r="H41" s="10"/>
      <c r="I41" s="10"/>
      <c r="J41" s="10">
        <v>1457</v>
      </c>
      <c r="K41" s="10">
        <v>1457</v>
      </c>
      <c r="L41" s="17">
        <v>15298.5</v>
      </c>
      <c r="M41" s="17">
        <f t="shared" si="0"/>
        <v>1376.865</v>
      </c>
      <c r="N41" s="17">
        <f t="shared" si="1"/>
        <v>1376.865</v>
      </c>
      <c r="O41" s="17">
        <v>0</v>
      </c>
      <c r="P41" s="17">
        <v>0</v>
      </c>
      <c r="Q41" s="17">
        <f t="shared" si="2"/>
        <v>18052.230000000003</v>
      </c>
      <c r="R41" s="20"/>
      <c r="S41" s="19"/>
    </row>
    <row r="42" spans="2:19" x14ac:dyDescent="0.3">
      <c r="B42" s="10">
        <v>33</v>
      </c>
      <c r="C42" s="10" t="s">
        <v>100</v>
      </c>
      <c r="D42" s="10"/>
      <c r="E42" s="10"/>
      <c r="F42" s="10"/>
      <c r="G42" s="10"/>
      <c r="H42" s="10"/>
      <c r="I42" s="10"/>
      <c r="J42" s="10"/>
      <c r="K42" s="10"/>
      <c r="L42" s="17"/>
      <c r="M42" s="17">
        <f t="shared" si="0"/>
        <v>0</v>
      </c>
      <c r="N42" s="17">
        <f t="shared" si="1"/>
        <v>0</v>
      </c>
      <c r="O42" s="17">
        <f t="shared" si="3"/>
        <v>0</v>
      </c>
      <c r="P42" s="17">
        <v>0</v>
      </c>
      <c r="Q42" s="17">
        <f t="shared" si="2"/>
        <v>0</v>
      </c>
      <c r="R42" s="20"/>
      <c r="S42" s="19"/>
    </row>
    <row r="43" spans="2:19" x14ac:dyDescent="0.3">
      <c r="B43" s="10">
        <v>34</v>
      </c>
      <c r="C43" s="10" t="s">
        <v>101</v>
      </c>
      <c r="D43" s="10"/>
      <c r="E43" s="10"/>
      <c r="F43" s="10"/>
      <c r="G43" s="10"/>
      <c r="H43" s="10"/>
      <c r="I43" s="10"/>
      <c r="J43" s="10"/>
      <c r="K43" s="10"/>
      <c r="L43" s="17"/>
      <c r="M43" s="17">
        <f t="shared" si="0"/>
        <v>0</v>
      </c>
      <c r="N43" s="17">
        <f t="shared" si="1"/>
        <v>0</v>
      </c>
      <c r="O43" s="17">
        <f t="shared" si="3"/>
        <v>0</v>
      </c>
      <c r="P43" s="17">
        <v>0</v>
      </c>
      <c r="Q43" s="17">
        <f t="shared" si="2"/>
        <v>0</v>
      </c>
      <c r="R43" s="20"/>
      <c r="S43" s="19"/>
    </row>
    <row r="44" spans="2:19" x14ac:dyDescent="0.3">
      <c r="B44" s="10">
        <v>35</v>
      </c>
      <c r="C44" s="10" t="s">
        <v>102</v>
      </c>
      <c r="D44" s="10"/>
      <c r="E44" s="10"/>
      <c r="F44" s="10"/>
      <c r="G44" s="10"/>
      <c r="H44" s="10"/>
      <c r="I44" s="10"/>
      <c r="J44" s="10"/>
      <c r="K44" s="10"/>
      <c r="L44" s="17"/>
      <c r="M44" s="17">
        <f t="shared" si="0"/>
        <v>0</v>
      </c>
      <c r="N44" s="17">
        <f t="shared" si="1"/>
        <v>0</v>
      </c>
      <c r="O44" s="17">
        <f t="shared" si="3"/>
        <v>0</v>
      </c>
      <c r="P44" s="17">
        <v>0</v>
      </c>
      <c r="Q44" s="17">
        <f t="shared" si="2"/>
        <v>0</v>
      </c>
      <c r="R44" s="20"/>
      <c r="S44" s="19"/>
    </row>
    <row r="45" spans="2:19" x14ac:dyDescent="0.3">
      <c r="B45" s="10">
        <v>36</v>
      </c>
      <c r="C45" s="10" t="s">
        <v>103</v>
      </c>
      <c r="D45" s="10"/>
      <c r="E45" s="10"/>
      <c r="F45" s="10"/>
      <c r="G45" s="10"/>
      <c r="H45" s="10"/>
      <c r="I45" s="10"/>
      <c r="J45" s="10"/>
      <c r="K45" s="10"/>
      <c r="L45" s="17"/>
      <c r="M45" s="17">
        <f t="shared" si="0"/>
        <v>0</v>
      </c>
      <c r="N45" s="17">
        <f t="shared" si="1"/>
        <v>0</v>
      </c>
      <c r="O45" s="17">
        <f t="shared" si="3"/>
        <v>0</v>
      </c>
      <c r="P45" s="17">
        <v>0</v>
      </c>
      <c r="Q45" s="17">
        <f t="shared" si="2"/>
        <v>0</v>
      </c>
      <c r="R45" s="20"/>
      <c r="S45" s="19"/>
    </row>
    <row r="46" spans="2:19" x14ac:dyDescent="0.3">
      <c r="B46" s="10">
        <v>37</v>
      </c>
      <c r="C46" s="10" t="s">
        <v>104</v>
      </c>
      <c r="D46" s="10"/>
      <c r="E46" s="10"/>
      <c r="F46" s="10"/>
      <c r="G46" s="10"/>
      <c r="H46" s="10"/>
      <c r="I46" s="10"/>
      <c r="J46" s="10"/>
      <c r="K46" s="10"/>
      <c r="L46" s="17"/>
      <c r="M46" s="17">
        <f t="shared" si="0"/>
        <v>0</v>
      </c>
      <c r="N46" s="17">
        <f t="shared" si="1"/>
        <v>0</v>
      </c>
      <c r="O46" s="17">
        <f t="shared" si="3"/>
        <v>0</v>
      </c>
      <c r="P46" s="17">
        <v>0</v>
      </c>
      <c r="Q46" s="17">
        <f t="shared" si="2"/>
        <v>0</v>
      </c>
      <c r="R46" s="20"/>
      <c r="S46" s="19"/>
    </row>
    <row r="47" spans="2:19" x14ac:dyDescent="0.3">
      <c r="B47" s="10">
        <v>38</v>
      </c>
      <c r="C47" s="10" t="s">
        <v>105</v>
      </c>
      <c r="D47" s="13"/>
      <c r="E47" s="10"/>
      <c r="F47" s="10"/>
      <c r="G47" s="10"/>
      <c r="H47" s="10"/>
      <c r="I47" s="10"/>
      <c r="J47" s="10"/>
      <c r="K47" s="10"/>
      <c r="L47" s="17"/>
      <c r="M47" s="17">
        <f t="shared" si="0"/>
        <v>0</v>
      </c>
      <c r="N47" s="17">
        <f t="shared" si="1"/>
        <v>0</v>
      </c>
      <c r="O47" s="17">
        <f t="shared" si="3"/>
        <v>0</v>
      </c>
      <c r="P47" s="17">
        <v>0</v>
      </c>
      <c r="Q47" s="17">
        <f t="shared" si="2"/>
        <v>0</v>
      </c>
      <c r="R47" s="20"/>
      <c r="S47" s="19"/>
    </row>
    <row r="48" spans="2:19" ht="21" x14ac:dyDescent="0.3">
      <c r="B48" s="10"/>
      <c r="C48" s="14" t="s">
        <v>106</v>
      </c>
      <c r="D48" s="10"/>
      <c r="E48" s="10"/>
      <c r="F48" s="10"/>
      <c r="G48" s="10"/>
      <c r="H48" s="10"/>
      <c r="I48" s="10"/>
      <c r="J48" s="10"/>
      <c r="K48" s="10">
        <f t="shared" ref="K48:Q48" si="4">SUM(K10:K47)</f>
        <v>713694</v>
      </c>
      <c r="L48" s="17">
        <f t="shared" si="4"/>
        <v>780143.36</v>
      </c>
      <c r="M48" s="23">
        <f t="shared" si="4"/>
        <v>48754.403999999995</v>
      </c>
      <c r="N48" s="23">
        <f t="shared" si="4"/>
        <v>48754.403999999995</v>
      </c>
      <c r="O48" s="23">
        <f t="shared" si="4"/>
        <v>42916.996800000001</v>
      </c>
      <c r="P48" s="23">
        <f t="shared" si="4"/>
        <v>0</v>
      </c>
      <c r="Q48" s="27">
        <f t="shared" si="4"/>
        <v>920569.16480000003</v>
      </c>
      <c r="S48" s="19"/>
    </row>
    <row r="49" spans="2:18" ht="15" customHeight="1" x14ac:dyDescent="0.35">
      <c r="L49" s="20"/>
      <c r="M49" s="133" t="s">
        <v>107</v>
      </c>
      <c r="N49" s="133"/>
      <c r="O49" s="132">
        <f>SUM(M48:O48)</f>
        <v>140425.80479999998</v>
      </c>
      <c r="P49" s="132"/>
      <c r="Q49" s="24"/>
    </row>
    <row r="50" spans="2:18" ht="15" customHeight="1" x14ac:dyDescent="0.35">
      <c r="L50" s="20"/>
      <c r="M50" s="133"/>
      <c r="N50" s="133"/>
      <c r="O50" s="132"/>
      <c r="P50" s="132"/>
      <c r="Q50" s="25"/>
      <c r="R50" s="25"/>
    </row>
    <row r="55" spans="2:18" x14ac:dyDescent="0.3">
      <c r="E55" s="134" t="s">
        <v>108</v>
      </c>
      <c r="F55" s="134"/>
    </row>
    <row r="56" spans="2:18" x14ac:dyDescent="0.3">
      <c r="E56" s="134"/>
      <c r="F56" s="134"/>
    </row>
    <row r="57" spans="2:18" x14ac:dyDescent="0.3">
      <c r="E57" s="134"/>
      <c r="F57" s="134"/>
    </row>
    <row r="63" spans="2:18" ht="31.2" x14ac:dyDescent="0.3">
      <c r="B63" s="15" t="s">
        <v>109</v>
      </c>
      <c r="C63" s="15" t="s">
        <v>26</v>
      </c>
      <c r="D63" s="15" t="s">
        <v>27</v>
      </c>
      <c r="E63" s="15" t="s">
        <v>28</v>
      </c>
      <c r="F63" s="15" t="s">
        <v>29</v>
      </c>
      <c r="G63" s="15" t="s">
        <v>110</v>
      </c>
      <c r="H63" s="15" t="s">
        <v>31</v>
      </c>
      <c r="I63" s="15" t="s">
        <v>32</v>
      </c>
      <c r="J63" s="15" t="s">
        <v>33</v>
      </c>
      <c r="K63" s="15" t="s">
        <v>34</v>
      </c>
      <c r="L63" s="16" t="s">
        <v>35</v>
      </c>
      <c r="M63" s="15" t="s">
        <v>36</v>
      </c>
      <c r="N63" s="15" t="s">
        <v>37</v>
      </c>
      <c r="O63" s="15" t="s">
        <v>38</v>
      </c>
      <c r="P63" s="16" t="s">
        <v>39</v>
      </c>
      <c r="Q63" s="16" t="s">
        <v>40</v>
      </c>
    </row>
    <row r="64" spans="2:18" x14ac:dyDescent="0.3">
      <c r="B64" s="10">
        <v>1</v>
      </c>
      <c r="C64" s="10">
        <v>2043</v>
      </c>
      <c r="D64" s="11">
        <v>45971</v>
      </c>
      <c r="E64" s="10" t="s">
        <v>111</v>
      </c>
      <c r="F64" s="10" t="s">
        <v>112</v>
      </c>
      <c r="G64" s="10">
        <v>39205111</v>
      </c>
      <c r="H64" s="10">
        <v>6</v>
      </c>
      <c r="I64" s="10"/>
      <c r="J64" s="10"/>
      <c r="K64" s="10">
        <f t="shared" ref="K64:K71" si="5">SUM(H64:J64)</f>
        <v>6</v>
      </c>
      <c r="L64" s="18">
        <v>5172</v>
      </c>
      <c r="M64" s="18">
        <v>0</v>
      </c>
      <c r="N64" s="18">
        <v>0</v>
      </c>
      <c r="O64" s="18">
        <f>L64*18%</f>
        <v>930.95999999999992</v>
      </c>
      <c r="P64" s="18">
        <v>0</v>
      </c>
      <c r="Q64" s="18">
        <f t="shared" ref="Q64:Q94" si="6">SUM(L64:P64)</f>
        <v>6102.96</v>
      </c>
    </row>
    <row r="65" spans="2:17" x14ac:dyDescent="0.3">
      <c r="B65" s="10">
        <v>2</v>
      </c>
      <c r="C65" s="10">
        <v>2097</v>
      </c>
      <c r="D65" s="11">
        <v>45975</v>
      </c>
      <c r="E65" s="10" t="s">
        <v>111</v>
      </c>
      <c r="F65" s="10" t="s">
        <v>112</v>
      </c>
      <c r="G65" s="10">
        <v>39205111</v>
      </c>
      <c r="H65" s="10">
        <v>11</v>
      </c>
      <c r="I65" s="10"/>
      <c r="J65" s="10"/>
      <c r="K65" s="10">
        <f t="shared" si="5"/>
        <v>11</v>
      </c>
      <c r="L65" s="18">
        <v>30800</v>
      </c>
      <c r="M65" s="18">
        <v>0</v>
      </c>
      <c r="N65" s="18">
        <v>0</v>
      </c>
      <c r="O65" s="18">
        <f t="shared" ref="O65:O94" si="7">L65*18%</f>
        <v>5544</v>
      </c>
      <c r="P65" s="18">
        <v>0</v>
      </c>
      <c r="Q65" s="18">
        <f t="shared" si="6"/>
        <v>36344</v>
      </c>
    </row>
    <row r="66" spans="2:17" x14ac:dyDescent="0.3">
      <c r="B66" s="10">
        <v>3</v>
      </c>
      <c r="C66" s="10">
        <v>2167</v>
      </c>
      <c r="D66" s="11">
        <v>45976</v>
      </c>
      <c r="E66" s="10" t="s">
        <v>113</v>
      </c>
      <c r="F66" s="10" t="s">
        <v>114</v>
      </c>
      <c r="G66" s="10">
        <v>39219099</v>
      </c>
      <c r="H66" s="10">
        <v>7</v>
      </c>
      <c r="I66" s="10"/>
      <c r="J66" s="10"/>
      <c r="K66" s="10">
        <f t="shared" si="5"/>
        <v>7</v>
      </c>
      <c r="L66" s="18">
        <v>39900</v>
      </c>
      <c r="M66" s="18">
        <f t="shared" ref="M66:M94" si="8">L66*9%</f>
        <v>3591</v>
      </c>
      <c r="N66" s="18">
        <f t="shared" ref="N66:N94" si="9">L66*9%</f>
        <v>3591</v>
      </c>
      <c r="O66" s="18">
        <v>0</v>
      </c>
      <c r="P66" s="18">
        <v>0</v>
      </c>
      <c r="Q66" s="18">
        <f t="shared" si="6"/>
        <v>47082</v>
      </c>
    </row>
    <row r="67" spans="2:17" x14ac:dyDescent="0.3">
      <c r="B67" s="10">
        <v>4</v>
      </c>
      <c r="C67" s="10">
        <v>302</v>
      </c>
      <c r="D67" s="11">
        <v>45978</v>
      </c>
      <c r="E67" s="10" t="s">
        <v>115</v>
      </c>
      <c r="F67" s="10" t="s">
        <v>116</v>
      </c>
      <c r="G67" s="10">
        <v>3919</v>
      </c>
      <c r="H67" s="10">
        <v>4843</v>
      </c>
      <c r="I67" s="10"/>
      <c r="J67" s="10"/>
      <c r="K67" s="10">
        <f t="shared" si="5"/>
        <v>4843</v>
      </c>
      <c r="L67" s="18">
        <v>38744</v>
      </c>
      <c r="M67" s="18">
        <v>0</v>
      </c>
      <c r="N67" s="18">
        <v>0</v>
      </c>
      <c r="O67" s="18">
        <f t="shared" si="7"/>
        <v>6973.92</v>
      </c>
      <c r="P67" s="18">
        <v>0</v>
      </c>
      <c r="Q67" s="18">
        <f t="shared" si="6"/>
        <v>45717.919999999998</v>
      </c>
    </row>
    <row r="68" spans="2:17" x14ac:dyDescent="0.3">
      <c r="B68" s="10">
        <v>5</v>
      </c>
      <c r="C68" s="10">
        <v>2180</v>
      </c>
      <c r="D68" s="11">
        <v>45986</v>
      </c>
      <c r="E68" s="10" t="s">
        <v>113</v>
      </c>
      <c r="F68" s="10" t="s">
        <v>114</v>
      </c>
      <c r="G68" s="10">
        <v>44111200</v>
      </c>
      <c r="H68" s="10">
        <v>20</v>
      </c>
      <c r="I68" s="10"/>
      <c r="J68" s="10"/>
      <c r="K68" s="10">
        <f t="shared" si="5"/>
        <v>20</v>
      </c>
      <c r="L68" s="18">
        <v>39300</v>
      </c>
      <c r="M68" s="18">
        <f t="shared" si="8"/>
        <v>3537</v>
      </c>
      <c r="N68" s="18">
        <f t="shared" si="9"/>
        <v>3537</v>
      </c>
      <c r="O68" s="18">
        <v>0</v>
      </c>
      <c r="P68" s="18">
        <v>0</v>
      </c>
      <c r="Q68" s="18">
        <f t="shared" si="6"/>
        <v>46374</v>
      </c>
    </row>
    <row r="69" spans="2:17" x14ac:dyDescent="0.3">
      <c r="B69" s="10">
        <v>6</v>
      </c>
      <c r="C69" s="10">
        <v>2174</v>
      </c>
      <c r="D69" s="11">
        <v>45986</v>
      </c>
      <c r="E69" s="10" t="s">
        <v>113</v>
      </c>
      <c r="F69" s="10" t="s">
        <v>117</v>
      </c>
      <c r="G69" s="10">
        <v>44111200</v>
      </c>
      <c r="H69" s="10">
        <v>120</v>
      </c>
      <c r="I69" s="10"/>
      <c r="J69" s="10"/>
      <c r="K69" s="10">
        <f t="shared" si="5"/>
        <v>120</v>
      </c>
      <c r="L69" s="18">
        <v>32700</v>
      </c>
      <c r="M69" s="18">
        <f t="shared" si="8"/>
        <v>2943</v>
      </c>
      <c r="N69" s="18">
        <f t="shared" si="9"/>
        <v>2943</v>
      </c>
      <c r="O69" s="18">
        <v>0</v>
      </c>
      <c r="P69" s="18">
        <v>0</v>
      </c>
      <c r="Q69" s="18">
        <f t="shared" si="6"/>
        <v>38586</v>
      </c>
    </row>
    <row r="70" spans="2:17" x14ac:dyDescent="0.3">
      <c r="B70" s="10">
        <v>7</v>
      </c>
      <c r="C70" s="10"/>
      <c r="D70" s="10"/>
      <c r="E70" s="10"/>
      <c r="F70" s="10"/>
      <c r="G70" s="10"/>
      <c r="H70" s="10"/>
      <c r="I70" s="10"/>
      <c r="J70" s="10"/>
      <c r="K70" s="10">
        <f t="shared" si="5"/>
        <v>0</v>
      </c>
      <c r="L70" s="18"/>
      <c r="M70" s="18">
        <f t="shared" si="8"/>
        <v>0</v>
      </c>
      <c r="N70" s="18">
        <f t="shared" si="9"/>
        <v>0</v>
      </c>
      <c r="O70" s="18">
        <f t="shared" si="7"/>
        <v>0</v>
      </c>
      <c r="P70" s="18">
        <v>0</v>
      </c>
      <c r="Q70" s="18">
        <f t="shared" si="6"/>
        <v>0</v>
      </c>
    </row>
    <row r="71" spans="2:17" x14ac:dyDescent="0.3">
      <c r="B71" s="10">
        <v>8</v>
      </c>
      <c r="C71" s="10"/>
      <c r="D71" s="10"/>
      <c r="E71" s="10"/>
      <c r="F71" s="10"/>
      <c r="G71" s="10"/>
      <c r="H71" s="10"/>
      <c r="I71" s="10"/>
      <c r="J71" s="10"/>
      <c r="K71" s="10">
        <f t="shared" si="5"/>
        <v>0</v>
      </c>
      <c r="L71" s="18"/>
      <c r="M71" s="18">
        <f t="shared" si="8"/>
        <v>0</v>
      </c>
      <c r="N71" s="18">
        <f t="shared" si="9"/>
        <v>0</v>
      </c>
      <c r="O71" s="18">
        <f t="shared" si="7"/>
        <v>0</v>
      </c>
      <c r="P71" s="18">
        <v>0</v>
      </c>
      <c r="Q71" s="18">
        <f t="shared" si="6"/>
        <v>0</v>
      </c>
    </row>
    <row r="72" spans="2:17" x14ac:dyDescent="0.3">
      <c r="B72" s="10">
        <v>9</v>
      </c>
      <c r="C72" s="10"/>
      <c r="D72" s="10"/>
      <c r="E72" s="10"/>
      <c r="F72" s="10"/>
      <c r="G72" s="10"/>
      <c r="H72" s="10"/>
      <c r="I72" s="10"/>
      <c r="J72" s="10"/>
      <c r="K72" s="10">
        <f t="shared" ref="K72:K94" si="10">SUM(H72:J72)</f>
        <v>0</v>
      </c>
      <c r="L72" s="18"/>
      <c r="M72" s="18">
        <f t="shared" si="8"/>
        <v>0</v>
      </c>
      <c r="N72" s="18">
        <f t="shared" si="9"/>
        <v>0</v>
      </c>
      <c r="O72" s="18">
        <f t="shared" si="7"/>
        <v>0</v>
      </c>
      <c r="P72" s="18">
        <v>0</v>
      </c>
      <c r="Q72" s="18">
        <f t="shared" si="6"/>
        <v>0</v>
      </c>
    </row>
    <row r="73" spans="2:17" x14ac:dyDescent="0.3">
      <c r="B73" s="10">
        <v>10</v>
      </c>
      <c r="C73" s="10"/>
      <c r="D73" s="10"/>
      <c r="E73" s="10"/>
      <c r="F73" s="10"/>
      <c r="G73" s="10"/>
      <c r="H73" s="10"/>
      <c r="I73" s="10"/>
      <c r="J73" s="10"/>
      <c r="K73" s="10">
        <f t="shared" si="10"/>
        <v>0</v>
      </c>
      <c r="L73" s="18"/>
      <c r="M73" s="18">
        <f t="shared" si="8"/>
        <v>0</v>
      </c>
      <c r="N73" s="18">
        <f t="shared" si="9"/>
        <v>0</v>
      </c>
      <c r="O73" s="18">
        <f t="shared" si="7"/>
        <v>0</v>
      </c>
      <c r="P73" s="18">
        <v>0</v>
      </c>
      <c r="Q73" s="18">
        <f t="shared" si="6"/>
        <v>0</v>
      </c>
    </row>
    <row r="74" spans="2:17" x14ac:dyDescent="0.3">
      <c r="B74" s="10">
        <v>11</v>
      </c>
      <c r="C74" s="10"/>
      <c r="D74" s="10"/>
      <c r="E74" s="10"/>
      <c r="F74" s="10"/>
      <c r="G74" s="10"/>
      <c r="H74" s="10"/>
      <c r="I74" s="10"/>
      <c r="J74" s="10"/>
      <c r="K74" s="10">
        <f t="shared" si="10"/>
        <v>0</v>
      </c>
      <c r="L74" s="18"/>
      <c r="M74" s="18">
        <f t="shared" si="8"/>
        <v>0</v>
      </c>
      <c r="N74" s="18">
        <f t="shared" si="9"/>
        <v>0</v>
      </c>
      <c r="O74" s="18">
        <f t="shared" si="7"/>
        <v>0</v>
      </c>
      <c r="P74" s="18">
        <v>0</v>
      </c>
      <c r="Q74" s="18">
        <f t="shared" si="6"/>
        <v>0</v>
      </c>
    </row>
    <row r="75" spans="2:17" x14ac:dyDescent="0.3">
      <c r="B75" s="10">
        <v>12</v>
      </c>
      <c r="C75" s="10"/>
      <c r="D75" s="10"/>
      <c r="E75" s="10"/>
      <c r="F75" s="10"/>
      <c r="G75" s="10"/>
      <c r="H75" s="10"/>
      <c r="I75" s="10"/>
      <c r="J75" s="10"/>
      <c r="K75" s="10">
        <f t="shared" si="10"/>
        <v>0</v>
      </c>
      <c r="L75" s="18"/>
      <c r="M75" s="18">
        <f t="shared" si="8"/>
        <v>0</v>
      </c>
      <c r="N75" s="18">
        <f t="shared" si="9"/>
        <v>0</v>
      </c>
      <c r="O75" s="18">
        <f t="shared" si="7"/>
        <v>0</v>
      </c>
      <c r="P75" s="18">
        <v>0</v>
      </c>
      <c r="Q75" s="18">
        <f t="shared" si="6"/>
        <v>0</v>
      </c>
    </row>
    <row r="76" spans="2:17" x14ac:dyDescent="0.3">
      <c r="B76" s="10">
        <v>13</v>
      </c>
      <c r="C76" s="10"/>
      <c r="D76" s="10"/>
      <c r="E76" s="10"/>
      <c r="F76" s="10"/>
      <c r="G76" s="10"/>
      <c r="H76" s="10"/>
      <c r="I76" s="10"/>
      <c r="J76" s="10"/>
      <c r="K76" s="10">
        <f t="shared" si="10"/>
        <v>0</v>
      </c>
      <c r="L76" s="18"/>
      <c r="M76" s="18">
        <f t="shared" si="8"/>
        <v>0</v>
      </c>
      <c r="N76" s="18">
        <f t="shared" si="9"/>
        <v>0</v>
      </c>
      <c r="O76" s="18">
        <f t="shared" si="7"/>
        <v>0</v>
      </c>
      <c r="P76" s="18">
        <v>0</v>
      </c>
      <c r="Q76" s="18">
        <f t="shared" si="6"/>
        <v>0</v>
      </c>
    </row>
    <row r="77" spans="2:17" x14ac:dyDescent="0.3">
      <c r="B77" s="10">
        <v>14</v>
      </c>
      <c r="C77" s="10"/>
      <c r="D77" s="10"/>
      <c r="E77" s="10"/>
      <c r="F77" s="10"/>
      <c r="G77" s="10"/>
      <c r="H77" s="10"/>
      <c r="I77" s="10"/>
      <c r="J77" s="10"/>
      <c r="K77" s="10">
        <f t="shared" si="10"/>
        <v>0</v>
      </c>
      <c r="L77" s="18"/>
      <c r="M77" s="18">
        <f t="shared" si="8"/>
        <v>0</v>
      </c>
      <c r="N77" s="18">
        <f t="shared" si="9"/>
        <v>0</v>
      </c>
      <c r="O77" s="18">
        <f t="shared" si="7"/>
        <v>0</v>
      </c>
      <c r="P77" s="18">
        <v>0</v>
      </c>
      <c r="Q77" s="18">
        <f t="shared" si="6"/>
        <v>0</v>
      </c>
    </row>
    <row r="78" spans="2:17" x14ac:dyDescent="0.3">
      <c r="B78" s="10">
        <v>15</v>
      </c>
      <c r="C78" s="10"/>
      <c r="D78" s="10"/>
      <c r="E78" s="10"/>
      <c r="F78" s="10"/>
      <c r="G78" s="10"/>
      <c r="H78" s="10"/>
      <c r="I78" s="10"/>
      <c r="J78" s="10"/>
      <c r="K78" s="10">
        <f t="shared" si="10"/>
        <v>0</v>
      </c>
      <c r="L78" s="18"/>
      <c r="M78" s="18">
        <f t="shared" si="8"/>
        <v>0</v>
      </c>
      <c r="N78" s="18">
        <f t="shared" si="9"/>
        <v>0</v>
      </c>
      <c r="O78" s="18">
        <f t="shared" si="7"/>
        <v>0</v>
      </c>
      <c r="P78" s="18">
        <v>0</v>
      </c>
      <c r="Q78" s="18">
        <f t="shared" si="6"/>
        <v>0</v>
      </c>
    </row>
    <row r="79" spans="2:17" x14ac:dyDescent="0.3">
      <c r="B79" s="10">
        <v>16</v>
      </c>
      <c r="C79" s="10"/>
      <c r="D79" s="10"/>
      <c r="E79" s="10"/>
      <c r="F79" s="10"/>
      <c r="G79" s="10"/>
      <c r="H79" s="10"/>
      <c r="I79" s="10"/>
      <c r="J79" s="10"/>
      <c r="K79" s="10">
        <f t="shared" si="10"/>
        <v>0</v>
      </c>
      <c r="L79" s="18"/>
      <c r="M79" s="18">
        <f t="shared" si="8"/>
        <v>0</v>
      </c>
      <c r="N79" s="18">
        <f t="shared" si="9"/>
        <v>0</v>
      </c>
      <c r="O79" s="18">
        <f t="shared" si="7"/>
        <v>0</v>
      </c>
      <c r="P79" s="18">
        <v>0</v>
      </c>
      <c r="Q79" s="18">
        <f t="shared" si="6"/>
        <v>0</v>
      </c>
    </row>
    <row r="80" spans="2:17" x14ac:dyDescent="0.3">
      <c r="B80" s="10">
        <v>17</v>
      </c>
      <c r="C80" s="10"/>
      <c r="D80" s="10"/>
      <c r="E80" s="10"/>
      <c r="F80" s="10"/>
      <c r="G80" s="10"/>
      <c r="H80" s="10"/>
      <c r="I80" s="10"/>
      <c r="J80" s="10"/>
      <c r="K80" s="10">
        <f t="shared" si="10"/>
        <v>0</v>
      </c>
      <c r="L80" s="18"/>
      <c r="M80" s="18">
        <f t="shared" si="8"/>
        <v>0</v>
      </c>
      <c r="N80" s="18">
        <f t="shared" si="9"/>
        <v>0</v>
      </c>
      <c r="O80" s="18">
        <f t="shared" si="7"/>
        <v>0</v>
      </c>
      <c r="P80" s="18">
        <v>0</v>
      </c>
      <c r="Q80" s="18">
        <f t="shared" si="6"/>
        <v>0</v>
      </c>
    </row>
    <row r="81" spans="2:17" x14ac:dyDescent="0.3">
      <c r="B81" s="10">
        <v>18</v>
      </c>
      <c r="C81" s="10"/>
      <c r="D81" s="10"/>
      <c r="E81" s="10"/>
      <c r="F81" s="10"/>
      <c r="G81" s="10"/>
      <c r="H81" s="10"/>
      <c r="I81" s="10"/>
      <c r="J81" s="10"/>
      <c r="K81" s="10">
        <f t="shared" si="10"/>
        <v>0</v>
      </c>
      <c r="L81" s="18"/>
      <c r="M81" s="18">
        <f t="shared" si="8"/>
        <v>0</v>
      </c>
      <c r="N81" s="18">
        <f t="shared" si="9"/>
        <v>0</v>
      </c>
      <c r="O81" s="18">
        <f t="shared" si="7"/>
        <v>0</v>
      </c>
      <c r="P81" s="18">
        <v>0</v>
      </c>
      <c r="Q81" s="18">
        <f t="shared" si="6"/>
        <v>0</v>
      </c>
    </row>
    <row r="82" spans="2:17" x14ac:dyDescent="0.3">
      <c r="B82" s="10">
        <v>19</v>
      </c>
      <c r="C82" s="10"/>
      <c r="D82" s="10"/>
      <c r="E82" s="10"/>
      <c r="F82" s="10"/>
      <c r="G82" s="10"/>
      <c r="H82" s="10"/>
      <c r="I82" s="10"/>
      <c r="J82" s="10"/>
      <c r="K82" s="10">
        <f t="shared" si="10"/>
        <v>0</v>
      </c>
      <c r="L82" s="18"/>
      <c r="M82" s="18">
        <f t="shared" si="8"/>
        <v>0</v>
      </c>
      <c r="N82" s="18">
        <f t="shared" si="9"/>
        <v>0</v>
      </c>
      <c r="O82" s="18">
        <f t="shared" si="7"/>
        <v>0</v>
      </c>
      <c r="P82" s="18">
        <v>0</v>
      </c>
      <c r="Q82" s="18">
        <f t="shared" si="6"/>
        <v>0</v>
      </c>
    </row>
    <row r="83" spans="2:17" x14ac:dyDescent="0.3">
      <c r="B83" s="10">
        <v>20</v>
      </c>
      <c r="C83" s="10"/>
      <c r="D83" s="10"/>
      <c r="E83" s="10"/>
      <c r="F83" s="10"/>
      <c r="G83" s="10"/>
      <c r="H83" s="10"/>
      <c r="I83" s="10"/>
      <c r="J83" s="10"/>
      <c r="K83" s="10">
        <f t="shared" si="10"/>
        <v>0</v>
      </c>
      <c r="L83" s="18"/>
      <c r="M83" s="18">
        <f t="shared" si="8"/>
        <v>0</v>
      </c>
      <c r="N83" s="18">
        <f t="shared" si="9"/>
        <v>0</v>
      </c>
      <c r="O83" s="18">
        <f t="shared" si="7"/>
        <v>0</v>
      </c>
      <c r="P83" s="18">
        <v>0</v>
      </c>
      <c r="Q83" s="18">
        <f t="shared" si="6"/>
        <v>0</v>
      </c>
    </row>
    <row r="84" spans="2:17" x14ac:dyDescent="0.3">
      <c r="B84" s="10">
        <v>21</v>
      </c>
      <c r="C84" s="10"/>
      <c r="D84" s="10"/>
      <c r="E84" s="10"/>
      <c r="F84" s="10"/>
      <c r="G84" s="10"/>
      <c r="H84" s="10"/>
      <c r="I84" s="10"/>
      <c r="J84" s="10"/>
      <c r="K84" s="10">
        <f t="shared" si="10"/>
        <v>0</v>
      </c>
      <c r="L84" s="18"/>
      <c r="M84" s="18">
        <f t="shared" si="8"/>
        <v>0</v>
      </c>
      <c r="N84" s="18">
        <f t="shared" si="9"/>
        <v>0</v>
      </c>
      <c r="O84" s="18">
        <f t="shared" si="7"/>
        <v>0</v>
      </c>
      <c r="P84" s="18">
        <v>0</v>
      </c>
      <c r="Q84" s="18">
        <f t="shared" si="6"/>
        <v>0</v>
      </c>
    </row>
    <row r="85" spans="2:17" x14ac:dyDescent="0.3">
      <c r="B85" s="10">
        <v>22</v>
      </c>
      <c r="C85" s="10"/>
      <c r="D85" s="10"/>
      <c r="E85" s="10"/>
      <c r="F85" s="10"/>
      <c r="G85" s="10"/>
      <c r="H85" s="10"/>
      <c r="I85" s="10"/>
      <c r="J85" s="10"/>
      <c r="K85" s="10">
        <f t="shared" si="10"/>
        <v>0</v>
      </c>
      <c r="L85" s="18"/>
      <c r="M85" s="18">
        <f t="shared" si="8"/>
        <v>0</v>
      </c>
      <c r="N85" s="18">
        <f t="shared" si="9"/>
        <v>0</v>
      </c>
      <c r="O85" s="18">
        <f t="shared" si="7"/>
        <v>0</v>
      </c>
      <c r="P85" s="18">
        <v>0</v>
      </c>
      <c r="Q85" s="18">
        <f t="shared" si="6"/>
        <v>0</v>
      </c>
    </row>
    <row r="86" spans="2:17" x14ac:dyDescent="0.3">
      <c r="B86" s="10">
        <v>23</v>
      </c>
      <c r="C86" s="10"/>
      <c r="D86" s="10"/>
      <c r="E86" s="10"/>
      <c r="F86" s="10"/>
      <c r="G86" s="10"/>
      <c r="H86" s="10"/>
      <c r="I86" s="10"/>
      <c r="J86" s="10"/>
      <c r="K86" s="10">
        <f t="shared" si="10"/>
        <v>0</v>
      </c>
      <c r="L86" s="18"/>
      <c r="M86" s="18">
        <f t="shared" si="8"/>
        <v>0</v>
      </c>
      <c r="N86" s="18">
        <f t="shared" si="9"/>
        <v>0</v>
      </c>
      <c r="O86" s="18">
        <f t="shared" si="7"/>
        <v>0</v>
      </c>
      <c r="P86" s="18">
        <v>0</v>
      </c>
      <c r="Q86" s="18">
        <f t="shared" si="6"/>
        <v>0</v>
      </c>
    </row>
    <row r="87" spans="2:17" x14ac:dyDescent="0.3">
      <c r="B87" s="10">
        <v>24</v>
      </c>
      <c r="C87" s="10"/>
      <c r="D87" s="10"/>
      <c r="E87" s="10"/>
      <c r="F87" s="10"/>
      <c r="G87" s="10"/>
      <c r="H87" s="10"/>
      <c r="I87" s="10"/>
      <c r="J87" s="10"/>
      <c r="K87" s="10">
        <f t="shared" si="10"/>
        <v>0</v>
      </c>
      <c r="L87" s="18"/>
      <c r="M87" s="18">
        <f t="shared" si="8"/>
        <v>0</v>
      </c>
      <c r="N87" s="18">
        <f t="shared" si="9"/>
        <v>0</v>
      </c>
      <c r="O87" s="18">
        <f t="shared" si="7"/>
        <v>0</v>
      </c>
      <c r="P87" s="18">
        <v>0</v>
      </c>
      <c r="Q87" s="18">
        <f t="shared" si="6"/>
        <v>0</v>
      </c>
    </row>
    <row r="88" spans="2:17" x14ac:dyDescent="0.3">
      <c r="B88" s="10">
        <v>25</v>
      </c>
      <c r="C88" s="10"/>
      <c r="D88" s="10"/>
      <c r="E88" s="10"/>
      <c r="F88" s="10"/>
      <c r="G88" s="10"/>
      <c r="H88" s="10"/>
      <c r="I88" s="10"/>
      <c r="J88" s="10"/>
      <c r="K88" s="10">
        <f t="shared" si="10"/>
        <v>0</v>
      </c>
      <c r="L88" s="18"/>
      <c r="M88" s="18">
        <f t="shared" si="8"/>
        <v>0</v>
      </c>
      <c r="N88" s="18">
        <f t="shared" si="9"/>
        <v>0</v>
      </c>
      <c r="O88" s="18">
        <f t="shared" si="7"/>
        <v>0</v>
      </c>
      <c r="P88" s="18">
        <v>0</v>
      </c>
      <c r="Q88" s="18">
        <f t="shared" si="6"/>
        <v>0</v>
      </c>
    </row>
    <row r="89" spans="2:17" x14ac:dyDescent="0.3">
      <c r="B89" s="10">
        <v>26</v>
      </c>
      <c r="C89" s="10"/>
      <c r="D89" s="10"/>
      <c r="E89" s="10"/>
      <c r="F89" s="10"/>
      <c r="G89" s="10"/>
      <c r="H89" s="10"/>
      <c r="I89" s="10"/>
      <c r="J89" s="10"/>
      <c r="K89" s="10">
        <f t="shared" si="10"/>
        <v>0</v>
      </c>
      <c r="L89" s="18"/>
      <c r="M89" s="18">
        <f t="shared" si="8"/>
        <v>0</v>
      </c>
      <c r="N89" s="18">
        <f t="shared" si="9"/>
        <v>0</v>
      </c>
      <c r="O89" s="18">
        <f t="shared" si="7"/>
        <v>0</v>
      </c>
      <c r="P89" s="18">
        <v>0</v>
      </c>
      <c r="Q89" s="18">
        <f t="shared" si="6"/>
        <v>0</v>
      </c>
    </row>
    <row r="90" spans="2:17" x14ac:dyDescent="0.3">
      <c r="B90" s="10">
        <v>27</v>
      </c>
      <c r="C90" s="10"/>
      <c r="D90" s="10"/>
      <c r="E90" s="10"/>
      <c r="F90" s="10"/>
      <c r="G90" s="10"/>
      <c r="H90" s="10"/>
      <c r="I90" s="10"/>
      <c r="J90" s="10"/>
      <c r="K90" s="10">
        <f t="shared" si="10"/>
        <v>0</v>
      </c>
      <c r="L90" s="18"/>
      <c r="M90" s="18">
        <f t="shared" si="8"/>
        <v>0</v>
      </c>
      <c r="N90" s="18">
        <f t="shared" si="9"/>
        <v>0</v>
      </c>
      <c r="O90" s="18">
        <f t="shared" si="7"/>
        <v>0</v>
      </c>
      <c r="P90" s="18">
        <v>0</v>
      </c>
      <c r="Q90" s="18">
        <f t="shared" si="6"/>
        <v>0</v>
      </c>
    </row>
    <row r="91" spans="2:17" x14ac:dyDescent="0.3">
      <c r="B91" s="10">
        <v>28</v>
      </c>
      <c r="C91" s="10"/>
      <c r="D91" s="10"/>
      <c r="E91" s="10"/>
      <c r="F91" s="10"/>
      <c r="G91" s="10"/>
      <c r="H91" s="10"/>
      <c r="I91" s="10"/>
      <c r="J91" s="10"/>
      <c r="K91" s="10">
        <f t="shared" si="10"/>
        <v>0</v>
      </c>
      <c r="L91" s="18"/>
      <c r="M91" s="18">
        <f t="shared" si="8"/>
        <v>0</v>
      </c>
      <c r="N91" s="18">
        <f t="shared" si="9"/>
        <v>0</v>
      </c>
      <c r="O91" s="18">
        <f t="shared" si="7"/>
        <v>0</v>
      </c>
      <c r="P91" s="18">
        <v>0</v>
      </c>
      <c r="Q91" s="18">
        <f t="shared" si="6"/>
        <v>0</v>
      </c>
    </row>
    <row r="92" spans="2:17" x14ac:dyDescent="0.3">
      <c r="B92" s="10">
        <v>29</v>
      </c>
      <c r="C92" s="10"/>
      <c r="D92" s="10"/>
      <c r="E92" s="10"/>
      <c r="F92" s="10"/>
      <c r="G92" s="10"/>
      <c r="H92" s="10"/>
      <c r="I92" s="10"/>
      <c r="J92" s="10"/>
      <c r="K92" s="10">
        <f t="shared" si="10"/>
        <v>0</v>
      </c>
      <c r="L92" s="18"/>
      <c r="M92" s="18">
        <f t="shared" si="8"/>
        <v>0</v>
      </c>
      <c r="N92" s="18">
        <f t="shared" si="9"/>
        <v>0</v>
      </c>
      <c r="O92" s="18">
        <f t="shared" si="7"/>
        <v>0</v>
      </c>
      <c r="P92" s="18">
        <v>0</v>
      </c>
      <c r="Q92" s="18">
        <f t="shared" si="6"/>
        <v>0</v>
      </c>
    </row>
    <row r="93" spans="2:17" x14ac:dyDescent="0.3">
      <c r="B93" s="10">
        <v>30</v>
      </c>
      <c r="C93" s="10"/>
      <c r="D93" s="10"/>
      <c r="E93" s="10"/>
      <c r="F93" s="10"/>
      <c r="G93" s="10"/>
      <c r="H93" s="10"/>
      <c r="I93" s="10"/>
      <c r="J93" s="10"/>
      <c r="K93" s="10">
        <f t="shared" si="10"/>
        <v>0</v>
      </c>
      <c r="L93" s="18"/>
      <c r="M93" s="18">
        <f t="shared" si="8"/>
        <v>0</v>
      </c>
      <c r="N93" s="18">
        <f t="shared" si="9"/>
        <v>0</v>
      </c>
      <c r="O93" s="18">
        <f t="shared" si="7"/>
        <v>0</v>
      </c>
      <c r="P93" s="18">
        <v>0</v>
      </c>
      <c r="Q93" s="18">
        <f t="shared" si="6"/>
        <v>0</v>
      </c>
    </row>
    <row r="94" spans="2:17" x14ac:dyDescent="0.3">
      <c r="B94" s="10">
        <v>31</v>
      </c>
      <c r="C94" s="10"/>
      <c r="D94" s="10"/>
      <c r="E94" s="10"/>
      <c r="F94" s="10"/>
      <c r="G94" s="10"/>
      <c r="H94" s="10"/>
      <c r="I94" s="10"/>
      <c r="J94" s="10"/>
      <c r="K94" s="10">
        <f t="shared" si="10"/>
        <v>0</v>
      </c>
      <c r="L94" s="18"/>
      <c r="M94" s="18">
        <f t="shared" si="8"/>
        <v>0</v>
      </c>
      <c r="N94" s="18">
        <f t="shared" si="9"/>
        <v>0</v>
      </c>
      <c r="O94" s="18">
        <f t="shared" si="7"/>
        <v>0</v>
      </c>
      <c r="P94" s="18">
        <v>0</v>
      </c>
      <c r="Q94" s="18">
        <f t="shared" si="6"/>
        <v>0</v>
      </c>
    </row>
    <row r="95" spans="2:17" ht="21" x14ac:dyDescent="0.3">
      <c r="B95" s="10"/>
      <c r="C95" s="14" t="s">
        <v>106</v>
      </c>
      <c r="D95" s="10"/>
      <c r="E95" s="10"/>
      <c r="F95" s="10"/>
      <c r="G95" s="10"/>
      <c r="H95" s="10"/>
      <c r="I95" s="10"/>
      <c r="J95" s="10"/>
      <c r="K95" s="10">
        <f t="shared" ref="K95:Q95" si="11">SUM(K64:K94)</f>
        <v>5007</v>
      </c>
      <c r="L95" s="18">
        <f t="shared" si="11"/>
        <v>186616</v>
      </c>
      <c r="M95" s="18">
        <f t="shared" si="11"/>
        <v>10071</v>
      </c>
      <c r="N95" s="18">
        <f t="shared" si="11"/>
        <v>10071</v>
      </c>
      <c r="O95" s="18">
        <f t="shared" si="11"/>
        <v>13448.880000000001</v>
      </c>
      <c r="P95" s="18">
        <f t="shared" si="11"/>
        <v>0</v>
      </c>
      <c r="Q95" s="26">
        <f t="shared" si="11"/>
        <v>220206.88</v>
      </c>
    </row>
    <row r="96" spans="2:17" x14ac:dyDescent="0.3">
      <c r="M96" s="131" t="s">
        <v>107</v>
      </c>
      <c r="N96" s="131"/>
      <c r="O96" s="132">
        <f>SUM(M95:O95)</f>
        <v>33590.880000000005</v>
      </c>
      <c r="P96" s="132"/>
    </row>
    <row r="97" spans="13:20" x14ac:dyDescent="0.3">
      <c r="M97" s="131"/>
      <c r="N97" s="131"/>
      <c r="O97" s="132"/>
      <c r="P97" s="132"/>
    </row>
    <row r="101" spans="13:20" x14ac:dyDescent="0.3">
      <c r="O101" s="135" t="s">
        <v>118</v>
      </c>
      <c r="P101" s="135"/>
      <c r="Q101" s="135"/>
      <c r="R101" s="136">
        <f>Q48</f>
        <v>920569.16480000003</v>
      </c>
      <c r="S101" s="137"/>
      <c r="T101" s="137"/>
    </row>
    <row r="102" spans="13:20" x14ac:dyDescent="0.3">
      <c r="O102" s="135"/>
      <c r="P102" s="135"/>
      <c r="Q102" s="135"/>
      <c r="R102" s="137"/>
      <c r="S102" s="137"/>
      <c r="T102" s="137"/>
    </row>
    <row r="103" spans="13:20" x14ac:dyDescent="0.3">
      <c r="O103" s="138" t="s">
        <v>119</v>
      </c>
      <c r="P103" s="138"/>
      <c r="Q103" s="138"/>
      <c r="R103" s="136">
        <f>Q95</f>
        <v>220206.88</v>
      </c>
      <c r="S103" s="137"/>
      <c r="T103" s="137"/>
    </row>
    <row r="104" spans="13:20" x14ac:dyDescent="0.3">
      <c r="O104" s="138"/>
      <c r="P104" s="138"/>
      <c r="Q104" s="138"/>
      <c r="R104" s="137"/>
      <c r="S104" s="137"/>
      <c r="T104" s="137"/>
    </row>
    <row r="105" spans="13:20" x14ac:dyDescent="0.3">
      <c r="O105" s="139" t="s">
        <v>120</v>
      </c>
      <c r="P105" s="139"/>
      <c r="Q105" s="139"/>
      <c r="R105" s="136">
        <f>R101-R103</f>
        <v>700362.28480000002</v>
      </c>
      <c r="S105" s="137"/>
      <c r="T105" s="137"/>
    </row>
    <row r="106" spans="13:20" x14ac:dyDescent="0.3">
      <c r="O106" s="139"/>
      <c r="P106" s="139"/>
      <c r="Q106" s="139"/>
      <c r="R106" s="137"/>
      <c r="S106" s="137"/>
      <c r="T106" s="137"/>
    </row>
    <row r="112" spans="13:20" x14ac:dyDescent="0.3">
      <c r="O112" s="140" t="s">
        <v>121</v>
      </c>
      <c r="P112" s="140"/>
      <c r="Q112" s="140"/>
      <c r="R112" s="141">
        <f>O49</f>
        <v>140425.80479999998</v>
      </c>
      <c r="S112" s="142"/>
      <c r="T112" s="142"/>
    </row>
    <row r="113" spans="15:20" x14ac:dyDescent="0.3">
      <c r="O113" s="140"/>
      <c r="P113" s="140"/>
      <c r="Q113" s="140"/>
      <c r="R113" s="142"/>
      <c r="S113" s="142"/>
      <c r="T113" s="142"/>
    </row>
    <row r="114" spans="15:20" x14ac:dyDescent="0.3">
      <c r="O114" s="143" t="s">
        <v>122</v>
      </c>
      <c r="P114" s="143"/>
      <c r="Q114" s="143"/>
      <c r="R114" s="136">
        <f>O96</f>
        <v>33590.880000000005</v>
      </c>
      <c r="S114" s="137"/>
      <c r="T114" s="137"/>
    </row>
    <row r="115" spans="15:20" x14ac:dyDescent="0.3">
      <c r="O115" s="143"/>
      <c r="P115" s="143"/>
      <c r="Q115" s="143"/>
      <c r="R115" s="137"/>
      <c r="S115" s="137"/>
      <c r="T115" s="137"/>
    </row>
    <row r="116" spans="15:20" x14ac:dyDescent="0.3">
      <c r="O116" s="144" t="s">
        <v>123</v>
      </c>
      <c r="P116" s="144"/>
      <c r="Q116" s="144"/>
      <c r="R116" s="136">
        <f>R112-R114</f>
        <v>106834.92479999998</v>
      </c>
      <c r="S116" s="137"/>
      <c r="T116" s="137"/>
    </row>
    <row r="117" spans="15:20" x14ac:dyDescent="0.3">
      <c r="O117" s="144"/>
      <c r="P117" s="144"/>
      <c r="Q117" s="144"/>
      <c r="R117" s="137"/>
      <c r="S117" s="137"/>
      <c r="T117" s="137"/>
    </row>
  </sheetData>
  <mergeCells count="17">
    <mergeCell ref="O112:Q113"/>
    <mergeCell ref="R112:T113"/>
    <mergeCell ref="O114:Q115"/>
    <mergeCell ref="R114:T115"/>
    <mergeCell ref="O116:Q117"/>
    <mergeCell ref="R116:T117"/>
    <mergeCell ref="O101:Q102"/>
    <mergeCell ref="R101:T102"/>
    <mergeCell ref="O103:Q104"/>
    <mergeCell ref="R103:T104"/>
    <mergeCell ref="O105:Q106"/>
    <mergeCell ref="R105:T106"/>
    <mergeCell ref="M96:N97"/>
    <mergeCell ref="O96:P97"/>
    <mergeCell ref="M49:N50"/>
    <mergeCell ref="O49:P50"/>
    <mergeCell ref="E55:F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AB87-5377-47DC-B4DD-851CB0899B46}">
  <sheetPr>
    <tabColor rgb="FFFFFF00"/>
  </sheetPr>
  <dimension ref="A1:AI1001"/>
  <sheetViews>
    <sheetView topLeftCell="G1" workbookViewId="0">
      <selection activeCell="T1" sqref="T1"/>
    </sheetView>
  </sheetViews>
  <sheetFormatPr defaultRowHeight="14.4" x14ac:dyDescent="0.3"/>
  <cols>
    <col min="1" max="1" width="5.5546875" bestFit="1" customWidth="1"/>
    <col min="2" max="2" width="10.6640625" bestFit="1" customWidth="1"/>
    <col min="4" max="4" width="43.88671875" bestFit="1" customWidth="1"/>
    <col min="5" max="5" width="19" bestFit="1" customWidth="1"/>
    <col min="6" max="6" width="10.6640625" bestFit="1" customWidth="1"/>
    <col min="7" max="7" width="7" bestFit="1" customWidth="1"/>
    <col min="8" max="8" width="7.44140625" bestFit="1" customWidth="1"/>
    <col min="9" max="9" width="7.88671875" bestFit="1" customWidth="1"/>
    <col min="10" max="10" width="4.5546875" bestFit="1" customWidth="1"/>
    <col min="11" max="11" width="6.33203125" bestFit="1" customWidth="1"/>
    <col min="12" max="12" width="10.6640625" bestFit="1" customWidth="1"/>
    <col min="13" max="13" width="4.6640625" bestFit="1" customWidth="1"/>
    <col min="14" max="14" width="11.88671875" bestFit="1" customWidth="1"/>
    <col min="15" max="17" width="10.88671875" bestFit="1" customWidth="1"/>
    <col min="18" max="18" width="14" bestFit="1" customWidth="1"/>
    <col min="19" max="19" width="12.88671875" bestFit="1" customWidth="1"/>
    <col min="20" max="20" width="2.88671875" bestFit="1" customWidth="1"/>
  </cols>
  <sheetData>
    <row r="1" spans="1:35" x14ac:dyDescent="0.3">
      <c r="A1" s="28"/>
      <c r="B1" s="29" t="s">
        <v>26</v>
      </c>
      <c r="C1" s="29" t="s">
        <v>27</v>
      </c>
      <c r="D1" s="29" t="s">
        <v>28</v>
      </c>
      <c r="E1" s="29" t="s">
        <v>29</v>
      </c>
      <c r="F1" s="29" t="s">
        <v>110</v>
      </c>
      <c r="G1" s="29" t="s">
        <v>31</v>
      </c>
      <c r="H1" s="29" t="s">
        <v>124</v>
      </c>
      <c r="I1" s="29" t="s">
        <v>32</v>
      </c>
      <c r="J1" s="29" t="s">
        <v>125</v>
      </c>
      <c r="K1" s="29" t="s">
        <v>126</v>
      </c>
      <c r="L1" s="29" t="s">
        <v>127</v>
      </c>
      <c r="M1" s="29" t="s">
        <v>34</v>
      </c>
      <c r="N1" s="29" t="s">
        <v>128</v>
      </c>
      <c r="O1" s="29" t="s">
        <v>36</v>
      </c>
      <c r="P1" s="29" t="s">
        <v>37</v>
      </c>
      <c r="Q1" s="29" t="s">
        <v>38</v>
      </c>
      <c r="R1" s="29" t="s">
        <v>129</v>
      </c>
      <c r="S1" s="29" t="s">
        <v>130</v>
      </c>
      <c r="T1" s="30"/>
      <c r="U1" s="30"/>
      <c r="V1" s="30"/>
      <c r="W1" s="30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35" x14ac:dyDescent="0.3">
      <c r="A2" s="32">
        <v>1</v>
      </c>
      <c r="B2" s="33" t="s">
        <v>131</v>
      </c>
      <c r="C2" s="34">
        <v>45936</v>
      </c>
      <c r="D2" s="35" t="s">
        <v>132</v>
      </c>
      <c r="E2" s="33" t="s">
        <v>85</v>
      </c>
      <c r="F2" s="36">
        <v>4820</v>
      </c>
      <c r="G2" s="37"/>
      <c r="H2" s="37"/>
      <c r="I2" s="37"/>
      <c r="J2" s="37"/>
      <c r="K2" s="37"/>
      <c r="L2" s="37"/>
      <c r="M2" s="37"/>
      <c r="N2" s="36">
        <v>11500</v>
      </c>
      <c r="O2" s="33">
        <v>0</v>
      </c>
      <c r="P2" s="33">
        <v>0</v>
      </c>
      <c r="Q2" s="33">
        <v>2070</v>
      </c>
      <c r="R2" s="33">
        <v>0</v>
      </c>
      <c r="S2" s="38">
        <v>13570</v>
      </c>
      <c r="T2" s="30"/>
      <c r="U2" s="30"/>
      <c r="V2" s="30"/>
      <c r="W2" s="30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3" spans="1:35" x14ac:dyDescent="0.3">
      <c r="A3" s="32">
        <v>2</v>
      </c>
      <c r="B3" s="33" t="s">
        <v>133</v>
      </c>
      <c r="C3" s="34">
        <v>45936</v>
      </c>
      <c r="D3" s="35" t="s">
        <v>45</v>
      </c>
      <c r="E3" s="33" t="s">
        <v>46</v>
      </c>
      <c r="F3" s="36">
        <v>4820</v>
      </c>
      <c r="G3" s="36">
        <v>12</v>
      </c>
      <c r="H3" s="37"/>
      <c r="I3" s="37"/>
      <c r="J3" s="37"/>
      <c r="K3" s="37"/>
      <c r="L3" s="37"/>
      <c r="M3" s="37"/>
      <c r="N3" s="36">
        <v>2880</v>
      </c>
      <c r="O3" s="33">
        <v>259.2</v>
      </c>
      <c r="P3" s="33">
        <v>259.2</v>
      </c>
      <c r="Q3" s="33">
        <v>0</v>
      </c>
      <c r="R3" s="33">
        <v>0</v>
      </c>
      <c r="S3" s="38">
        <v>3398.4</v>
      </c>
      <c r="T3" s="30"/>
      <c r="U3" s="30"/>
      <c r="V3" s="30"/>
      <c r="W3" s="30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</row>
    <row r="4" spans="1:35" x14ac:dyDescent="0.3">
      <c r="A4" s="32">
        <v>3</v>
      </c>
      <c r="B4" s="33" t="s">
        <v>134</v>
      </c>
      <c r="C4" s="34">
        <v>45936</v>
      </c>
      <c r="D4" s="35" t="s">
        <v>135</v>
      </c>
      <c r="E4" s="33" t="s">
        <v>94</v>
      </c>
      <c r="F4" s="36">
        <v>4820</v>
      </c>
      <c r="G4" s="37"/>
      <c r="H4" s="36">
        <v>360</v>
      </c>
      <c r="I4" s="37"/>
      <c r="J4" s="37"/>
      <c r="K4" s="37"/>
      <c r="L4" s="37"/>
      <c r="M4" s="37"/>
      <c r="N4" s="36">
        <v>10080</v>
      </c>
      <c r="O4" s="33">
        <v>907.2</v>
      </c>
      <c r="P4" s="33">
        <v>907.2</v>
      </c>
      <c r="Q4" s="33">
        <v>0</v>
      </c>
      <c r="R4" s="33">
        <v>0</v>
      </c>
      <c r="S4" s="38">
        <v>11894.4</v>
      </c>
      <c r="T4" s="30"/>
      <c r="U4" s="30"/>
      <c r="V4" s="30"/>
      <c r="W4" s="30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</row>
    <row r="5" spans="1:35" x14ac:dyDescent="0.3">
      <c r="A5" s="32">
        <v>4</v>
      </c>
      <c r="B5" s="33" t="s">
        <v>136</v>
      </c>
      <c r="C5" s="34">
        <v>45937</v>
      </c>
      <c r="D5" s="35" t="s">
        <v>137</v>
      </c>
      <c r="E5" s="33" t="s">
        <v>138</v>
      </c>
      <c r="F5" s="36">
        <v>4820</v>
      </c>
      <c r="G5" s="36">
        <v>3000</v>
      </c>
      <c r="H5" s="37"/>
      <c r="I5" s="37"/>
      <c r="J5" s="37"/>
      <c r="K5" s="37"/>
      <c r="L5" s="37"/>
      <c r="M5" s="37"/>
      <c r="N5" s="36">
        <v>37500</v>
      </c>
      <c r="O5" s="33">
        <v>3375</v>
      </c>
      <c r="P5" s="33">
        <v>3375</v>
      </c>
      <c r="Q5" s="33">
        <v>0</v>
      </c>
      <c r="R5" s="33">
        <v>0</v>
      </c>
      <c r="S5" s="38">
        <v>44250</v>
      </c>
      <c r="T5" s="30"/>
      <c r="U5" s="30"/>
      <c r="V5" s="30"/>
      <c r="W5" s="30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5" x14ac:dyDescent="0.3">
      <c r="A6" s="32">
        <v>5</v>
      </c>
      <c r="B6" s="33" t="s">
        <v>139</v>
      </c>
      <c r="C6" s="34">
        <v>45938</v>
      </c>
      <c r="D6" s="35" t="s">
        <v>137</v>
      </c>
      <c r="E6" s="33" t="s">
        <v>138</v>
      </c>
      <c r="F6" s="36">
        <v>4820</v>
      </c>
      <c r="G6" s="36">
        <v>800</v>
      </c>
      <c r="H6" s="37"/>
      <c r="I6" s="37"/>
      <c r="J6" s="37"/>
      <c r="K6" s="37"/>
      <c r="L6" s="37"/>
      <c r="M6" s="37"/>
      <c r="N6" s="36">
        <v>10000</v>
      </c>
      <c r="O6" s="33">
        <v>900</v>
      </c>
      <c r="P6" s="33">
        <v>900</v>
      </c>
      <c r="Q6" s="33">
        <v>0</v>
      </c>
      <c r="R6" s="33">
        <v>0</v>
      </c>
      <c r="S6" s="38">
        <v>11800</v>
      </c>
      <c r="T6" s="30"/>
      <c r="U6" s="30"/>
      <c r="V6" s="30"/>
      <c r="W6" s="30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spans="1:35" x14ac:dyDescent="0.3">
      <c r="A7" s="32">
        <v>6</v>
      </c>
      <c r="B7" s="33" t="s">
        <v>140</v>
      </c>
      <c r="C7" s="34">
        <v>45941</v>
      </c>
      <c r="D7" s="35" t="s">
        <v>141</v>
      </c>
      <c r="E7" s="33" t="s">
        <v>142</v>
      </c>
      <c r="F7" s="36">
        <v>4911</v>
      </c>
      <c r="G7" s="37"/>
      <c r="H7" s="37"/>
      <c r="I7" s="36">
        <v>569.65</v>
      </c>
      <c r="J7" s="37"/>
      <c r="K7" s="37"/>
      <c r="L7" s="37"/>
      <c r="M7" s="37"/>
      <c r="N7" s="36">
        <v>11484.34</v>
      </c>
      <c r="O7" s="33">
        <v>0</v>
      </c>
      <c r="P7" s="33">
        <v>0</v>
      </c>
      <c r="Q7" s="33">
        <v>2067.1812</v>
      </c>
      <c r="R7" s="33">
        <v>0</v>
      </c>
      <c r="S7" s="38">
        <v>13551.52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1"/>
    </row>
    <row r="8" spans="1:35" x14ac:dyDescent="0.3">
      <c r="A8" s="32">
        <v>7</v>
      </c>
      <c r="B8" s="33" t="s">
        <v>143</v>
      </c>
      <c r="C8" s="34">
        <v>45943</v>
      </c>
      <c r="D8" s="35" t="s">
        <v>75</v>
      </c>
      <c r="E8" s="33" t="s">
        <v>76</v>
      </c>
      <c r="F8" s="36">
        <v>3919</v>
      </c>
      <c r="G8" s="36">
        <v>5581</v>
      </c>
      <c r="H8" s="37"/>
      <c r="I8" s="37"/>
      <c r="J8" s="37"/>
      <c r="K8" s="37"/>
      <c r="L8" s="37"/>
      <c r="M8" s="37"/>
      <c r="N8" s="36">
        <v>61391</v>
      </c>
      <c r="O8" s="33">
        <v>0</v>
      </c>
      <c r="P8" s="33">
        <v>0</v>
      </c>
      <c r="Q8" s="33">
        <v>11050.38</v>
      </c>
      <c r="R8" s="33">
        <v>0</v>
      </c>
      <c r="S8" s="38">
        <v>72441.38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1"/>
    </row>
    <row r="9" spans="1:35" x14ac:dyDescent="0.3">
      <c r="A9" s="32">
        <v>8</v>
      </c>
      <c r="B9" s="33" t="s">
        <v>144</v>
      </c>
      <c r="C9" s="34">
        <v>45943</v>
      </c>
      <c r="D9" s="35" t="s">
        <v>145</v>
      </c>
      <c r="E9" s="33" t="s">
        <v>146</v>
      </c>
      <c r="F9" s="36">
        <v>8507</v>
      </c>
      <c r="G9" s="36">
        <v>13</v>
      </c>
      <c r="H9" s="37"/>
      <c r="I9" s="37"/>
      <c r="J9" s="37"/>
      <c r="K9" s="37"/>
      <c r="L9" s="37"/>
      <c r="M9" s="37"/>
      <c r="N9" s="36">
        <v>13550</v>
      </c>
      <c r="O9" s="33">
        <v>1219.5</v>
      </c>
      <c r="P9" s="33">
        <v>1219.5</v>
      </c>
      <c r="Q9" s="35"/>
      <c r="R9" s="33">
        <v>0</v>
      </c>
      <c r="S9" s="38">
        <v>15989</v>
      </c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1"/>
    </row>
    <row r="10" spans="1:35" x14ac:dyDescent="0.3">
      <c r="A10" s="32">
        <v>9</v>
      </c>
      <c r="B10" s="33" t="s">
        <v>147</v>
      </c>
      <c r="C10" s="34">
        <v>45945</v>
      </c>
      <c r="D10" s="35" t="s">
        <v>148</v>
      </c>
      <c r="E10" s="33" t="s">
        <v>49</v>
      </c>
      <c r="F10" s="36">
        <v>96100000</v>
      </c>
      <c r="G10" s="36">
        <v>234408</v>
      </c>
      <c r="H10" s="37"/>
      <c r="I10" s="37"/>
      <c r="J10" s="37"/>
      <c r="K10" s="37"/>
      <c r="L10" s="37"/>
      <c r="M10" s="37"/>
      <c r="N10" s="36">
        <v>217999.44</v>
      </c>
      <c r="O10" s="33">
        <v>0</v>
      </c>
      <c r="P10" s="33">
        <v>0</v>
      </c>
      <c r="Q10" s="33">
        <v>39239.8992</v>
      </c>
      <c r="R10" s="33">
        <v>0</v>
      </c>
      <c r="S10" s="38">
        <v>257239.34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1"/>
    </row>
    <row r="11" spans="1:35" x14ac:dyDescent="0.3">
      <c r="A11" s="32">
        <v>10</v>
      </c>
      <c r="B11" s="33" t="s">
        <v>149</v>
      </c>
      <c r="C11" s="34">
        <v>45945</v>
      </c>
      <c r="D11" s="35" t="s">
        <v>132</v>
      </c>
      <c r="E11" s="33" t="s">
        <v>85</v>
      </c>
      <c r="F11" s="36">
        <v>3919</v>
      </c>
      <c r="G11" s="36">
        <v>3000</v>
      </c>
      <c r="H11" s="37"/>
      <c r="I11" s="37"/>
      <c r="J11" s="37"/>
      <c r="K11" s="37"/>
      <c r="L11" s="37"/>
      <c r="M11" s="37"/>
      <c r="N11" s="36">
        <v>31500</v>
      </c>
      <c r="O11" s="33">
        <v>0</v>
      </c>
      <c r="P11" s="33">
        <v>0</v>
      </c>
      <c r="Q11" s="33">
        <v>5670</v>
      </c>
      <c r="R11" s="33">
        <v>0</v>
      </c>
      <c r="S11" s="38">
        <v>37170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1"/>
    </row>
    <row r="12" spans="1:35" x14ac:dyDescent="0.3">
      <c r="A12" s="32">
        <v>11</v>
      </c>
      <c r="B12" s="33" t="s">
        <v>150</v>
      </c>
      <c r="C12" s="34">
        <v>45945</v>
      </c>
      <c r="D12" s="35" t="s">
        <v>132</v>
      </c>
      <c r="E12" s="33" t="s">
        <v>85</v>
      </c>
      <c r="F12" s="36">
        <v>7219</v>
      </c>
      <c r="G12" s="36">
        <v>1</v>
      </c>
      <c r="H12" s="37"/>
      <c r="I12" s="37"/>
      <c r="J12" s="37"/>
      <c r="K12" s="37"/>
      <c r="L12" s="37"/>
      <c r="M12" s="37"/>
      <c r="N12" s="36">
        <v>1450</v>
      </c>
      <c r="O12" s="33">
        <v>0</v>
      </c>
      <c r="P12" s="33">
        <v>0</v>
      </c>
      <c r="Q12" s="33">
        <v>261</v>
      </c>
      <c r="R12" s="33">
        <v>0</v>
      </c>
      <c r="S12" s="38">
        <v>1711</v>
      </c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1"/>
    </row>
    <row r="13" spans="1:35" x14ac:dyDescent="0.3">
      <c r="A13" s="32">
        <v>12</v>
      </c>
      <c r="B13" s="33" t="s">
        <v>151</v>
      </c>
      <c r="C13" s="34">
        <v>45945</v>
      </c>
      <c r="D13" s="35" t="s">
        <v>132</v>
      </c>
      <c r="E13" s="33" t="s">
        <v>85</v>
      </c>
      <c r="F13" s="36">
        <v>3919</v>
      </c>
      <c r="G13" s="36">
        <v>50</v>
      </c>
      <c r="H13" s="37"/>
      <c r="I13" s="37"/>
      <c r="J13" s="37"/>
      <c r="K13" s="37"/>
      <c r="L13" s="37"/>
      <c r="M13" s="37"/>
      <c r="N13" s="36">
        <v>6440</v>
      </c>
      <c r="O13" s="33">
        <v>0</v>
      </c>
      <c r="P13" s="33">
        <v>0</v>
      </c>
      <c r="Q13" s="33">
        <v>1159.2</v>
      </c>
      <c r="R13" s="33">
        <v>0</v>
      </c>
      <c r="S13" s="38">
        <v>7599.2</v>
      </c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1"/>
    </row>
    <row r="14" spans="1:35" x14ac:dyDescent="0.3">
      <c r="A14" s="32">
        <v>13</v>
      </c>
      <c r="B14" s="33" t="s">
        <v>152</v>
      </c>
      <c r="C14" s="34">
        <v>45945</v>
      </c>
      <c r="D14" s="35" t="s">
        <v>132</v>
      </c>
      <c r="E14" s="33" t="s">
        <v>85</v>
      </c>
      <c r="F14" s="36">
        <v>4911</v>
      </c>
      <c r="G14" s="36">
        <v>1</v>
      </c>
      <c r="H14" s="37"/>
      <c r="I14" s="37"/>
      <c r="J14" s="37"/>
      <c r="K14" s="37"/>
      <c r="L14" s="37"/>
      <c r="M14" s="37"/>
      <c r="N14" s="36">
        <v>1488</v>
      </c>
      <c r="O14" s="33">
        <v>0</v>
      </c>
      <c r="P14" s="33">
        <v>0</v>
      </c>
      <c r="Q14" s="33">
        <v>267.83999999999997</v>
      </c>
      <c r="R14" s="33">
        <v>0</v>
      </c>
      <c r="S14" s="38">
        <v>1755.84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1"/>
    </row>
    <row r="15" spans="1:35" x14ac:dyDescent="0.3">
      <c r="A15" s="32">
        <v>14</v>
      </c>
      <c r="B15" s="33" t="s">
        <v>153</v>
      </c>
      <c r="C15" s="34">
        <v>45945</v>
      </c>
      <c r="D15" s="35" t="s">
        <v>51</v>
      </c>
      <c r="E15" s="33" t="s">
        <v>52</v>
      </c>
      <c r="F15" s="36">
        <v>4911</v>
      </c>
      <c r="G15" s="37"/>
      <c r="H15" s="37"/>
      <c r="I15" s="36">
        <v>599</v>
      </c>
      <c r="J15" s="37"/>
      <c r="K15" s="37"/>
      <c r="L15" s="37"/>
      <c r="M15" s="37"/>
      <c r="N15" s="36">
        <v>67591</v>
      </c>
      <c r="O15" s="33">
        <v>0</v>
      </c>
      <c r="P15" s="33">
        <v>0</v>
      </c>
      <c r="Q15" s="33">
        <v>12166.38</v>
      </c>
      <c r="R15" s="33">
        <v>0</v>
      </c>
      <c r="S15" s="38">
        <v>79757.38</v>
      </c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1"/>
    </row>
    <row r="16" spans="1:35" x14ac:dyDescent="0.3">
      <c r="A16" s="32">
        <v>15</v>
      </c>
      <c r="B16" s="33" t="s">
        <v>154</v>
      </c>
      <c r="C16" s="34">
        <v>45946</v>
      </c>
      <c r="D16" s="35" t="s">
        <v>45</v>
      </c>
      <c r="E16" s="33" t="s">
        <v>46</v>
      </c>
      <c r="F16" s="36">
        <v>4820</v>
      </c>
      <c r="G16" s="36">
        <v>20</v>
      </c>
      <c r="H16" s="37"/>
      <c r="I16" s="37"/>
      <c r="J16" s="37"/>
      <c r="K16" s="37"/>
      <c r="L16" s="37"/>
      <c r="M16" s="37"/>
      <c r="N16" s="36">
        <v>3280</v>
      </c>
      <c r="O16" s="33">
        <v>295.2</v>
      </c>
      <c r="P16" s="33">
        <v>295.2</v>
      </c>
      <c r="Q16" s="33">
        <v>0</v>
      </c>
      <c r="R16" s="33">
        <v>0</v>
      </c>
      <c r="S16" s="38">
        <v>3870.4</v>
      </c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1"/>
    </row>
    <row r="17" spans="1:35" x14ac:dyDescent="0.3">
      <c r="A17" s="32">
        <v>16</v>
      </c>
      <c r="B17" s="33" t="s">
        <v>155</v>
      </c>
      <c r="C17" s="34">
        <v>45946</v>
      </c>
      <c r="D17" s="35" t="s">
        <v>156</v>
      </c>
      <c r="E17" s="33" t="s">
        <v>157</v>
      </c>
      <c r="F17" s="36">
        <v>4820</v>
      </c>
      <c r="G17" s="36">
        <v>1770</v>
      </c>
      <c r="H17" s="37"/>
      <c r="I17" s="37"/>
      <c r="J17" s="37"/>
      <c r="K17" s="37"/>
      <c r="L17" s="37"/>
      <c r="M17" s="37"/>
      <c r="N17" s="36">
        <v>9869.52</v>
      </c>
      <c r="O17" s="33">
        <v>888.2568</v>
      </c>
      <c r="P17" s="33">
        <v>888.2568</v>
      </c>
      <c r="Q17" s="33">
        <v>0</v>
      </c>
      <c r="R17" s="33">
        <v>0</v>
      </c>
      <c r="S17" s="38">
        <v>11646.03</v>
      </c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1"/>
    </row>
    <row r="18" spans="1:35" x14ac:dyDescent="0.3">
      <c r="A18" s="32">
        <v>17</v>
      </c>
      <c r="B18" s="33" t="s">
        <v>158</v>
      </c>
      <c r="C18" s="34">
        <v>45948</v>
      </c>
      <c r="D18" s="35" t="s">
        <v>57</v>
      </c>
      <c r="E18" s="33" t="s">
        <v>58</v>
      </c>
      <c r="F18" s="36">
        <v>4820</v>
      </c>
      <c r="G18" s="37"/>
      <c r="H18" s="37"/>
      <c r="I18" s="36">
        <v>1503.33</v>
      </c>
      <c r="J18" s="37"/>
      <c r="K18" s="37"/>
      <c r="L18" s="37"/>
      <c r="M18" s="37"/>
      <c r="N18" s="36">
        <v>8659.2000000000007</v>
      </c>
      <c r="O18" s="33">
        <v>779.32799999999997</v>
      </c>
      <c r="P18" s="33">
        <v>779.32799999999997</v>
      </c>
      <c r="Q18" s="33">
        <v>0</v>
      </c>
      <c r="R18" s="33">
        <v>0</v>
      </c>
      <c r="S18" s="38">
        <v>10217.86</v>
      </c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1"/>
    </row>
    <row r="19" spans="1:35" x14ac:dyDescent="0.3">
      <c r="A19" s="32">
        <v>18</v>
      </c>
      <c r="B19" s="33" t="s">
        <v>159</v>
      </c>
      <c r="C19" s="34">
        <v>45948</v>
      </c>
      <c r="D19" s="35" t="s">
        <v>57</v>
      </c>
      <c r="E19" s="33" t="s">
        <v>58</v>
      </c>
      <c r="F19" s="36">
        <v>4820</v>
      </c>
      <c r="G19" s="37"/>
      <c r="H19" s="37"/>
      <c r="I19" s="36">
        <v>1277.9100000000001</v>
      </c>
      <c r="J19" s="37"/>
      <c r="K19" s="37"/>
      <c r="L19" s="37"/>
      <c r="M19" s="37"/>
      <c r="N19" s="36">
        <v>7360.8</v>
      </c>
      <c r="O19" s="33">
        <v>662.47199999999998</v>
      </c>
      <c r="P19" s="33">
        <v>662.47199999999998</v>
      </c>
      <c r="Q19" s="33">
        <v>0</v>
      </c>
      <c r="R19" s="33">
        <v>0</v>
      </c>
      <c r="S19" s="38">
        <v>8685.74</v>
      </c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1"/>
    </row>
    <row r="20" spans="1:35" x14ac:dyDescent="0.3">
      <c r="A20" s="32">
        <v>19</v>
      </c>
      <c r="B20" s="33" t="s">
        <v>160</v>
      </c>
      <c r="C20" s="34">
        <v>45948</v>
      </c>
      <c r="D20" s="35" t="s">
        <v>42</v>
      </c>
      <c r="E20" s="33" t="s">
        <v>43</v>
      </c>
      <c r="F20" s="36">
        <v>4820</v>
      </c>
      <c r="G20" s="36">
        <v>57</v>
      </c>
      <c r="H20" s="37"/>
      <c r="I20" s="37"/>
      <c r="J20" s="37"/>
      <c r="K20" s="37"/>
      <c r="L20" s="37"/>
      <c r="M20" s="37"/>
      <c r="N20" s="36">
        <v>16919</v>
      </c>
      <c r="O20" s="33">
        <v>1522.71</v>
      </c>
      <c r="P20" s="33">
        <v>1522.71</v>
      </c>
      <c r="Q20" s="33">
        <v>0</v>
      </c>
      <c r="R20" s="33">
        <v>0</v>
      </c>
      <c r="S20" s="38">
        <v>19964.419999999998</v>
      </c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1"/>
    </row>
    <row r="21" spans="1:35" x14ac:dyDescent="0.3">
      <c r="A21" s="32">
        <v>20</v>
      </c>
      <c r="B21" s="33" t="s">
        <v>161</v>
      </c>
      <c r="C21" s="34">
        <v>45955</v>
      </c>
      <c r="D21" s="35" t="s">
        <v>162</v>
      </c>
      <c r="E21" s="33" t="s">
        <v>163</v>
      </c>
      <c r="F21" s="36">
        <v>3906</v>
      </c>
      <c r="G21" s="37"/>
      <c r="H21" s="37"/>
      <c r="I21" s="37"/>
      <c r="J21" s="36">
        <v>1</v>
      </c>
      <c r="K21" s="37"/>
      <c r="L21" s="37"/>
      <c r="M21" s="37"/>
      <c r="N21" s="36">
        <v>37692.6</v>
      </c>
      <c r="O21" s="33">
        <v>0</v>
      </c>
      <c r="P21" s="33">
        <v>0</v>
      </c>
      <c r="Q21" s="33">
        <v>6784.6679999999997</v>
      </c>
      <c r="R21" s="33">
        <v>0</v>
      </c>
      <c r="S21" s="38">
        <v>44477.27</v>
      </c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1"/>
    </row>
    <row r="22" spans="1:35" x14ac:dyDescent="0.3">
      <c r="A22" s="32">
        <v>21</v>
      </c>
      <c r="B22" s="33" t="s">
        <v>164</v>
      </c>
      <c r="C22" s="34">
        <v>45955</v>
      </c>
      <c r="D22" s="35" t="s">
        <v>162</v>
      </c>
      <c r="E22" s="33" t="s">
        <v>163</v>
      </c>
      <c r="F22" s="36">
        <v>3906</v>
      </c>
      <c r="G22" s="36">
        <v>1</v>
      </c>
      <c r="H22" s="37"/>
      <c r="I22" s="37"/>
      <c r="J22" s="37"/>
      <c r="K22" s="37"/>
      <c r="L22" s="37"/>
      <c r="M22" s="37"/>
      <c r="N22" s="36">
        <v>8000</v>
      </c>
      <c r="O22" s="33">
        <v>0</v>
      </c>
      <c r="P22" s="33">
        <v>0</v>
      </c>
      <c r="Q22" s="33">
        <v>1440</v>
      </c>
      <c r="R22" s="33">
        <v>0</v>
      </c>
      <c r="S22" s="38">
        <v>9440</v>
      </c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1"/>
    </row>
    <row r="23" spans="1:35" x14ac:dyDescent="0.3">
      <c r="A23" s="32">
        <v>22</v>
      </c>
      <c r="B23" s="33" t="s">
        <v>165</v>
      </c>
      <c r="C23" s="34">
        <v>45955</v>
      </c>
      <c r="D23" s="35" t="s">
        <v>145</v>
      </c>
      <c r="E23" s="33" t="s">
        <v>146</v>
      </c>
      <c r="F23" s="36">
        <v>3822</v>
      </c>
      <c r="G23" s="37"/>
      <c r="H23" s="37"/>
      <c r="I23" s="37"/>
      <c r="J23" s="37"/>
      <c r="K23" s="36">
        <v>50</v>
      </c>
      <c r="L23" s="37"/>
      <c r="M23" s="37"/>
      <c r="N23" s="36">
        <v>1250</v>
      </c>
      <c r="O23" s="33">
        <v>112.5</v>
      </c>
      <c r="P23" s="33">
        <v>112.5</v>
      </c>
      <c r="Q23" s="33">
        <v>0</v>
      </c>
      <c r="R23" s="33">
        <v>0</v>
      </c>
      <c r="S23" s="38">
        <v>1475</v>
      </c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1"/>
    </row>
    <row r="24" spans="1:35" x14ac:dyDescent="0.3">
      <c r="A24" s="32">
        <v>23</v>
      </c>
      <c r="B24" s="33" t="s">
        <v>166</v>
      </c>
      <c r="C24" s="34">
        <v>45957</v>
      </c>
      <c r="D24" s="35" t="s">
        <v>148</v>
      </c>
      <c r="E24" s="33" t="s">
        <v>49</v>
      </c>
      <c r="F24" s="36">
        <v>96100000</v>
      </c>
      <c r="G24" s="37"/>
      <c r="H24" s="37"/>
      <c r="I24" s="36">
        <v>376</v>
      </c>
      <c r="J24" s="37"/>
      <c r="K24" s="37"/>
      <c r="L24" s="37"/>
      <c r="M24" s="37"/>
      <c r="N24" s="36">
        <v>50399.49</v>
      </c>
      <c r="O24" s="33">
        <v>0</v>
      </c>
      <c r="P24" s="33">
        <v>0</v>
      </c>
      <c r="Q24" s="33">
        <v>9071.9081999999999</v>
      </c>
      <c r="R24" s="33">
        <v>0</v>
      </c>
      <c r="S24" s="38">
        <v>59471.4</v>
      </c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1"/>
    </row>
    <row r="25" spans="1:35" x14ac:dyDescent="0.3">
      <c r="A25" s="32">
        <v>24</v>
      </c>
      <c r="B25" s="33" t="s">
        <v>167</v>
      </c>
      <c r="C25" s="34">
        <v>45957</v>
      </c>
      <c r="D25" s="35" t="s">
        <v>42</v>
      </c>
      <c r="E25" s="33" t="s">
        <v>43</v>
      </c>
      <c r="F25" s="36">
        <v>4820</v>
      </c>
      <c r="G25" s="36">
        <v>190</v>
      </c>
      <c r="H25" s="37"/>
      <c r="I25" s="37"/>
      <c r="J25" s="37"/>
      <c r="K25" s="37"/>
      <c r="L25" s="37"/>
      <c r="M25" s="37"/>
      <c r="N25" s="36">
        <v>2114</v>
      </c>
      <c r="O25" s="33">
        <v>190.26</v>
      </c>
      <c r="P25" s="33">
        <v>190.26</v>
      </c>
      <c r="Q25" s="33">
        <v>0</v>
      </c>
      <c r="R25" s="33">
        <v>0</v>
      </c>
      <c r="S25" s="38">
        <v>2494.52</v>
      </c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1"/>
    </row>
    <row r="26" spans="1:35" x14ac:dyDescent="0.3">
      <c r="A26" s="32">
        <v>25</v>
      </c>
      <c r="B26" s="33" t="s">
        <v>168</v>
      </c>
      <c r="C26" s="34">
        <v>45958</v>
      </c>
      <c r="D26" s="35" t="s">
        <v>63</v>
      </c>
      <c r="E26" s="33" t="s">
        <v>64</v>
      </c>
      <c r="F26" s="36">
        <v>4911</v>
      </c>
      <c r="G26" s="36">
        <v>1</v>
      </c>
      <c r="H26" s="37"/>
      <c r="I26" s="37"/>
      <c r="J26" s="37"/>
      <c r="K26" s="37"/>
      <c r="L26" s="37"/>
      <c r="M26" s="37"/>
      <c r="N26" s="36">
        <v>9650</v>
      </c>
      <c r="O26" s="33">
        <v>868.5</v>
      </c>
      <c r="P26" s="33">
        <v>868.5</v>
      </c>
      <c r="Q26" s="33">
        <v>0</v>
      </c>
      <c r="R26" s="33">
        <v>0</v>
      </c>
      <c r="S26" s="38">
        <v>11387</v>
      </c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</row>
    <row r="27" spans="1:35" x14ac:dyDescent="0.3">
      <c r="A27" s="32">
        <v>26</v>
      </c>
      <c r="B27" s="33" t="s">
        <v>169</v>
      </c>
      <c r="C27" s="34">
        <v>45961</v>
      </c>
      <c r="D27" s="35" t="s">
        <v>170</v>
      </c>
      <c r="E27" s="33" t="s">
        <v>171</v>
      </c>
      <c r="F27" s="36">
        <v>48110000</v>
      </c>
      <c r="G27" s="36">
        <v>2500</v>
      </c>
      <c r="H27" s="37"/>
      <c r="I27" s="37"/>
      <c r="J27" s="37"/>
      <c r="K27" s="37"/>
      <c r="L27" s="37"/>
      <c r="M27" s="37"/>
      <c r="N27" s="36">
        <v>26500</v>
      </c>
      <c r="O27" s="33">
        <v>2385</v>
      </c>
      <c r="P27" s="33">
        <v>2385</v>
      </c>
      <c r="Q27" s="33">
        <v>0</v>
      </c>
      <c r="R27" s="33">
        <v>0</v>
      </c>
      <c r="S27" s="38">
        <v>31270</v>
      </c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1"/>
    </row>
    <row r="28" spans="1:35" x14ac:dyDescent="0.3">
      <c r="A28" s="39"/>
      <c r="B28" s="35"/>
      <c r="C28" s="35"/>
      <c r="D28" s="35"/>
      <c r="E28" s="35"/>
      <c r="F28" s="37"/>
      <c r="G28" s="37"/>
      <c r="H28" s="37"/>
      <c r="I28" s="37"/>
      <c r="J28" s="37"/>
      <c r="K28" s="37"/>
      <c r="L28" s="37"/>
      <c r="M28" s="37"/>
      <c r="N28" s="37"/>
      <c r="O28" s="35"/>
      <c r="P28" s="35"/>
      <c r="Q28" s="35"/>
      <c r="R28" s="35"/>
      <c r="S28" s="37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1"/>
    </row>
    <row r="29" spans="1:35" x14ac:dyDescent="0.3">
      <c r="A29" s="39"/>
      <c r="B29" s="35"/>
      <c r="C29" s="35"/>
      <c r="D29" s="35"/>
      <c r="E29" s="35"/>
      <c r="F29" s="37"/>
      <c r="G29" s="37"/>
      <c r="H29" s="37"/>
      <c r="I29" s="37"/>
      <c r="J29" s="37"/>
      <c r="K29" s="37"/>
      <c r="L29" s="37"/>
      <c r="M29" s="37"/>
      <c r="N29" s="37"/>
      <c r="O29" s="35"/>
      <c r="P29" s="35"/>
      <c r="Q29" s="35"/>
      <c r="R29" s="35"/>
      <c r="S29" s="37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1"/>
    </row>
    <row r="30" spans="1:35" x14ac:dyDescent="0.3">
      <c r="A30" s="145" t="s">
        <v>172</v>
      </c>
      <c r="B30" s="146"/>
      <c r="C30" s="146"/>
      <c r="D30" s="146"/>
      <c r="E30" s="147"/>
      <c r="F30" s="35"/>
      <c r="G30" s="35"/>
      <c r="H30" s="35"/>
      <c r="I30" s="35"/>
      <c r="J30" s="35"/>
      <c r="K30" s="35"/>
      <c r="L30" s="35"/>
      <c r="M30" s="35"/>
      <c r="N30" s="40">
        <v>666548.39</v>
      </c>
      <c r="O30" s="41">
        <v>14365.13</v>
      </c>
      <c r="P30" s="41">
        <v>14365.13</v>
      </c>
      <c r="Q30" s="41">
        <v>91248.46</v>
      </c>
      <c r="R30" s="40">
        <v>0</v>
      </c>
      <c r="S30" s="41">
        <v>786527.1</v>
      </c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1"/>
    </row>
    <row r="31" spans="1:35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1"/>
    </row>
    <row r="32" spans="1:35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1"/>
    </row>
    <row r="33" spans="1:35" x14ac:dyDescent="0.3">
      <c r="A33" s="148" t="s">
        <v>173</v>
      </c>
      <c r="B33" s="149"/>
      <c r="C33" s="150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2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1"/>
    </row>
    <row r="34" spans="1:35" x14ac:dyDescent="0.3">
      <c r="A34" s="43" t="s">
        <v>174</v>
      </c>
      <c r="B34" s="44" t="s">
        <v>26</v>
      </c>
      <c r="C34" s="44" t="s">
        <v>27</v>
      </c>
      <c r="D34" s="44" t="s">
        <v>28</v>
      </c>
      <c r="E34" s="44" t="s">
        <v>29</v>
      </c>
      <c r="F34" s="45" t="s">
        <v>110</v>
      </c>
      <c r="G34" s="46"/>
      <c r="H34" s="46"/>
      <c r="I34" s="46"/>
      <c r="J34" s="46"/>
      <c r="K34" s="46"/>
      <c r="L34" s="45" t="s">
        <v>127</v>
      </c>
      <c r="M34" s="46"/>
      <c r="N34" s="45" t="s">
        <v>175</v>
      </c>
      <c r="O34" s="45" t="s">
        <v>36</v>
      </c>
      <c r="P34" s="45" t="s">
        <v>37</v>
      </c>
      <c r="Q34" s="45" t="s">
        <v>38</v>
      </c>
      <c r="R34" s="47" t="s">
        <v>176</v>
      </c>
      <c r="S34" s="45" t="s">
        <v>177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1"/>
    </row>
    <row r="35" spans="1:35" x14ac:dyDescent="0.3">
      <c r="A35" s="32">
        <v>1</v>
      </c>
      <c r="B35" s="33" t="s">
        <v>178</v>
      </c>
      <c r="C35" s="34">
        <v>45936</v>
      </c>
      <c r="D35" s="35" t="s">
        <v>179</v>
      </c>
      <c r="E35" s="33" t="s">
        <v>180</v>
      </c>
      <c r="F35" s="33">
        <v>44123190</v>
      </c>
      <c r="G35" s="35"/>
      <c r="H35" s="35"/>
      <c r="I35" s="35"/>
      <c r="J35" s="35"/>
      <c r="K35" s="35"/>
      <c r="L35" s="35"/>
      <c r="M35" s="35"/>
      <c r="N35" s="33">
        <v>9500</v>
      </c>
      <c r="O35" s="33">
        <v>855</v>
      </c>
      <c r="P35" s="33">
        <v>855</v>
      </c>
      <c r="Q35" s="33">
        <v>0</v>
      </c>
      <c r="R35" s="33">
        <v>0</v>
      </c>
      <c r="S35" s="38">
        <v>11210</v>
      </c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1"/>
    </row>
    <row r="36" spans="1:35" x14ac:dyDescent="0.3">
      <c r="A36" s="39"/>
      <c r="B36" s="35"/>
      <c r="C36" s="35"/>
      <c r="D36" s="35"/>
      <c r="E36" s="35"/>
      <c r="F36" s="33">
        <v>48239030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7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1"/>
    </row>
    <row r="37" spans="1:35" x14ac:dyDescent="0.3">
      <c r="A37" s="32">
        <v>2</v>
      </c>
      <c r="B37" s="33" t="s">
        <v>181</v>
      </c>
      <c r="C37" s="34">
        <v>45936</v>
      </c>
      <c r="D37" s="35" t="s">
        <v>182</v>
      </c>
      <c r="E37" s="33" t="s">
        <v>183</v>
      </c>
      <c r="F37" s="33">
        <v>48203000</v>
      </c>
      <c r="G37" s="35"/>
      <c r="H37" s="35"/>
      <c r="I37" s="35"/>
      <c r="J37" s="35"/>
      <c r="K37" s="35"/>
      <c r="L37" s="35"/>
      <c r="M37" s="35"/>
      <c r="N37" s="33">
        <v>34263</v>
      </c>
      <c r="O37" s="33">
        <v>0</v>
      </c>
      <c r="P37" s="33">
        <v>0</v>
      </c>
      <c r="Q37" s="33">
        <v>6167.34</v>
      </c>
      <c r="R37" s="33">
        <v>0</v>
      </c>
      <c r="S37" s="38">
        <v>40430.339999999997</v>
      </c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1"/>
    </row>
    <row r="38" spans="1:35" x14ac:dyDescent="0.3">
      <c r="A38" s="39"/>
      <c r="B38" s="48">
        <v>2127</v>
      </c>
      <c r="C38" s="34">
        <v>45938</v>
      </c>
      <c r="D38" s="49" t="s">
        <v>113</v>
      </c>
      <c r="E38" s="33" t="s">
        <v>114</v>
      </c>
      <c r="F38" s="35"/>
      <c r="G38" s="35"/>
      <c r="H38" s="35"/>
      <c r="I38" s="35"/>
      <c r="J38" s="35"/>
      <c r="K38" s="35"/>
      <c r="L38" s="35"/>
      <c r="M38" s="35"/>
      <c r="N38" s="33">
        <v>37850</v>
      </c>
      <c r="O38" s="33">
        <v>3406.5</v>
      </c>
      <c r="P38" s="33">
        <v>3406.5</v>
      </c>
      <c r="Q38" s="33">
        <v>0</v>
      </c>
      <c r="R38" s="33">
        <v>0</v>
      </c>
      <c r="S38" s="38">
        <v>44663</v>
      </c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1"/>
    </row>
    <row r="39" spans="1:35" x14ac:dyDescent="0.3">
      <c r="A39" s="32">
        <v>3</v>
      </c>
      <c r="B39" s="48">
        <v>7533</v>
      </c>
      <c r="C39" s="34">
        <v>45943</v>
      </c>
      <c r="D39" s="49" t="s">
        <v>184</v>
      </c>
      <c r="E39" s="33" t="s">
        <v>185</v>
      </c>
      <c r="F39" s="35"/>
      <c r="G39" s="35"/>
      <c r="H39" s="35"/>
      <c r="I39" s="35"/>
      <c r="J39" s="35"/>
      <c r="K39" s="35"/>
      <c r="L39" s="35"/>
      <c r="M39" s="35"/>
      <c r="N39" s="33">
        <v>2149.9899999999998</v>
      </c>
      <c r="O39" s="33">
        <v>0</v>
      </c>
      <c r="P39" s="33">
        <v>0</v>
      </c>
      <c r="Q39" s="33">
        <v>386.9982</v>
      </c>
      <c r="R39" s="33">
        <v>0</v>
      </c>
      <c r="S39" s="38">
        <v>2536.9899999999998</v>
      </c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1"/>
    </row>
    <row r="40" spans="1:35" x14ac:dyDescent="0.3">
      <c r="A40" s="32">
        <v>4</v>
      </c>
      <c r="B40" s="33">
        <v>268</v>
      </c>
      <c r="C40" s="34">
        <v>45943</v>
      </c>
      <c r="D40" s="35" t="s">
        <v>115</v>
      </c>
      <c r="E40" s="33" t="s">
        <v>116</v>
      </c>
      <c r="F40" s="33">
        <v>3919</v>
      </c>
      <c r="G40" s="35"/>
      <c r="H40" s="35"/>
      <c r="I40" s="35"/>
      <c r="J40" s="35"/>
      <c r="K40" s="35"/>
      <c r="L40" s="35"/>
      <c r="M40" s="35"/>
      <c r="N40" s="33">
        <v>44648</v>
      </c>
      <c r="O40" s="33">
        <v>0</v>
      </c>
      <c r="P40" s="33">
        <v>0</v>
      </c>
      <c r="Q40" s="33">
        <v>8036.64</v>
      </c>
      <c r="R40" s="33">
        <v>0</v>
      </c>
      <c r="S40" s="38">
        <v>52684.639999999999</v>
      </c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1"/>
    </row>
    <row r="41" spans="1:35" x14ac:dyDescent="0.3">
      <c r="A41" s="32">
        <v>5</v>
      </c>
      <c r="B41" s="33">
        <v>280</v>
      </c>
      <c r="C41" s="34">
        <v>45943</v>
      </c>
      <c r="D41" s="35" t="s">
        <v>186</v>
      </c>
      <c r="E41" s="33" t="s">
        <v>187</v>
      </c>
      <c r="F41" s="35"/>
      <c r="G41" s="35"/>
      <c r="H41" s="35"/>
      <c r="I41" s="35"/>
      <c r="J41" s="35"/>
      <c r="K41" s="35"/>
      <c r="L41" s="35"/>
      <c r="M41" s="35"/>
      <c r="N41" s="33">
        <v>17100</v>
      </c>
      <c r="O41" s="33">
        <v>1539</v>
      </c>
      <c r="P41" s="33">
        <v>1539</v>
      </c>
      <c r="Q41" s="33">
        <v>0</v>
      </c>
      <c r="R41" s="33">
        <v>0</v>
      </c>
      <c r="S41" s="38">
        <v>20178</v>
      </c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1"/>
    </row>
    <row r="42" spans="1:35" x14ac:dyDescent="0.3">
      <c r="A42" s="32">
        <v>6</v>
      </c>
      <c r="B42" s="33">
        <v>2139</v>
      </c>
      <c r="C42" s="34">
        <v>45943</v>
      </c>
      <c r="D42" s="35" t="s">
        <v>113</v>
      </c>
      <c r="E42" s="33" t="s">
        <v>114</v>
      </c>
      <c r="F42" s="35"/>
      <c r="G42" s="35"/>
      <c r="H42" s="35"/>
      <c r="I42" s="35"/>
      <c r="J42" s="35"/>
      <c r="K42" s="35"/>
      <c r="L42" s="35"/>
      <c r="M42" s="35"/>
      <c r="N42" s="33">
        <v>39600</v>
      </c>
      <c r="O42" s="33">
        <v>3564</v>
      </c>
      <c r="P42" s="33">
        <v>3564</v>
      </c>
      <c r="Q42" s="33">
        <v>0</v>
      </c>
      <c r="R42" s="33">
        <v>0</v>
      </c>
      <c r="S42" s="38">
        <v>46728</v>
      </c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1"/>
    </row>
    <row r="43" spans="1:35" x14ac:dyDescent="0.3">
      <c r="A43" s="32">
        <v>7</v>
      </c>
      <c r="B43" s="33" t="s">
        <v>188</v>
      </c>
      <c r="C43" s="34">
        <v>45943</v>
      </c>
      <c r="D43" s="35" t="s">
        <v>189</v>
      </c>
      <c r="E43" s="33" t="s">
        <v>190</v>
      </c>
      <c r="F43" s="35"/>
      <c r="G43" s="35"/>
      <c r="H43" s="35"/>
      <c r="I43" s="35"/>
      <c r="J43" s="35"/>
      <c r="K43" s="35"/>
      <c r="L43" s="35"/>
      <c r="M43" s="35"/>
      <c r="N43" s="33">
        <v>58112</v>
      </c>
      <c r="O43" s="33">
        <v>0</v>
      </c>
      <c r="P43" s="33">
        <v>0</v>
      </c>
      <c r="Q43" s="33">
        <v>10460.16</v>
      </c>
      <c r="R43" s="33">
        <v>0</v>
      </c>
      <c r="S43" s="38">
        <v>68572.160000000003</v>
      </c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1"/>
    </row>
    <row r="44" spans="1:35" x14ac:dyDescent="0.3">
      <c r="A44" s="32">
        <v>8</v>
      </c>
      <c r="B44" s="33">
        <v>58</v>
      </c>
      <c r="C44" s="34">
        <v>45945</v>
      </c>
      <c r="D44" s="35" t="s">
        <v>191</v>
      </c>
      <c r="E44" s="33" t="s">
        <v>192</v>
      </c>
      <c r="F44" s="35"/>
      <c r="G44" s="35"/>
      <c r="H44" s="35"/>
      <c r="I44" s="35"/>
      <c r="J44" s="35"/>
      <c r="K44" s="35"/>
      <c r="L44" s="35"/>
      <c r="M44" s="35"/>
      <c r="N44" s="33">
        <v>14250</v>
      </c>
      <c r="O44" s="33">
        <v>0</v>
      </c>
      <c r="P44" s="33">
        <v>0</v>
      </c>
      <c r="Q44" s="33">
        <v>2565</v>
      </c>
      <c r="R44" s="33">
        <v>0</v>
      </c>
      <c r="S44" s="38">
        <v>16815</v>
      </c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1"/>
    </row>
    <row r="45" spans="1:35" x14ac:dyDescent="0.3">
      <c r="A45" s="32">
        <v>9</v>
      </c>
      <c r="B45" s="33">
        <v>4439</v>
      </c>
      <c r="C45" s="34">
        <v>45946</v>
      </c>
      <c r="D45" s="35" t="s">
        <v>193</v>
      </c>
      <c r="E45" s="33" t="s">
        <v>194</v>
      </c>
      <c r="F45" s="33">
        <v>44119429</v>
      </c>
      <c r="G45" s="35"/>
      <c r="H45" s="35"/>
      <c r="I45" s="35"/>
      <c r="J45" s="35"/>
      <c r="K45" s="35"/>
      <c r="L45" s="35"/>
      <c r="M45" s="35"/>
      <c r="N45" s="33">
        <v>14974.08</v>
      </c>
      <c r="O45" s="33">
        <v>1347.6672000000001</v>
      </c>
      <c r="P45" s="33">
        <v>1347.6672000000001</v>
      </c>
      <c r="Q45" s="33">
        <v>0</v>
      </c>
      <c r="R45" s="33">
        <v>0</v>
      </c>
      <c r="S45" s="38">
        <v>17669.41</v>
      </c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1"/>
    </row>
    <row r="46" spans="1:35" x14ac:dyDescent="0.3">
      <c r="A46" s="32">
        <v>10</v>
      </c>
      <c r="B46" s="33">
        <v>2147</v>
      </c>
      <c r="C46" s="34">
        <v>45948</v>
      </c>
      <c r="D46" s="35" t="s">
        <v>113</v>
      </c>
      <c r="E46" s="33" t="s">
        <v>114</v>
      </c>
      <c r="F46" s="35"/>
      <c r="G46" s="35"/>
      <c r="H46" s="35"/>
      <c r="I46" s="35"/>
      <c r="J46" s="35"/>
      <c r="K46" s="35"/>
      <c r="L46" s="35"/>
      <c r="M46" s="35"/>
      <c r="N46" s="33">
        <v>36300</v>
      </c>
      <c r="O46" s="33">
        <v>3267</v>
      </c>
      <c r="P46" s="33">
        <v>3267</v>
      </c>
      <c r="Q46" s="33">
        <v>0</v>
      </c>
      <c r="R46" s="33">
        <v>0</v>
      </c>
      <c r="S46" s="38">
        <v>42834</v>
      </c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1"/>
    </row>
    <row r="47" spans="1:35" x14ac:dyDescent="0.3">
      <c r="A47" s="32">
        <v>11</v>
      </c>
      <c r="B47" s="33">
        <v>2150</v>
      </c>
      <c r="C47" s="34">
        <v>45954</v>
      </c>
      <c r="D47" s="35" t="s">
        <v>113</v>
      </c>
      <c r="E47" s="33" t="s">
        <v>114</v>
      </c>
      <c r="F47" s="35"/>
      <c r="G47" s="35"/>
      <c r="H47" s="35"/>
      <c r="I47" s="35"/>
      <c r="J47" s="35"/>
      <c r="K47" s="35"/>
      <c r="L47" s="35"/>
      <c r="M47" s="35"/>
      <c r="N47" s="33">
        <v>39000</v>
      </c>
      <c r="O47" s="33">
        <v>3510</v>
      </c>
      <c r="P47" s="33">
        <v>3510</v>
      </c>
      <c r="Q47" s="33">
        <v>0</v>
      </c>
      <c r="R47" s="33">
        <v>0</v>
      </c>
      <c r="S47" s="38">
        <v>46020</v>
      </c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1"/>
    </row>
    <row r="48" spans="1:35" x14ac:dyDescent="0.3">
      <c r="A48" s="32">
        <v>12</v>
      </c>
      <c r="B48" s="33">
        <v>7795</v>
      </c>
      <c r="C48" s="34">
        <v>45955</v>
      </c>
      <c r="D48" s="49" t="s">
        <v>184</v>
      </c>
      <c r="E48" s="33" t="s">
        <v>185</v>
      </c>
      <c r="F48" s="35"/>
      <c r="G48" s="35"/>
      <c r="H48" s="35"/>
      <c r="I48" s="35"/>
      <c r="J48" s="35"/>
      <c r="K48" s="35"/>
      <c r="L48" s="35"/>
      <c r="M48" s="35"/>
      <c r="N48" s="33">
        <v>4325</v>
      </c>
      <c r="O48" s="33">
        <v>0</v>
      </c>
      <c r="P48" s="33">
        <v>0</v>
      </c>
      <c r="Q48" s="33">
        <v>778.5</v>
      </c>
      <c r="R48" s="33">
        <v>0</v>
      </c>
      <c r="S48" s="38">
        <v>5103.5</v>
      </c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1"/>
    </row>
    <row r="49" spans="1:35" x14ac:dyDescent="0.3">
      <c r="A49" s="32">
        <v>13</v>
      </c>
      <c r="B49" s="33">
        <v>7880</v>
      </c>
      <c r="C49" s="34">
        <v>45958</v>
      </c>
      <c r="D49" s="49" t="s">
        <v>184</v>
      </c>
      <c r="E49" s="35" t="s">
        <v>185</v>
      </c>
      <c r="F49" s="35"/>
      <c r="G49" s="35"/>
      <c r="H49" s="35"/>
      <c r="I49" s="35"/>
      <c r="J49" s="35"/>
      <c r="K49" s="35"/>
      <c r="L49" s="35"/>
      <c r="M49" s="35"/>
      <c r="N49" s="33">
        <v>2880</v>
      </c>
      <c r="O49" s="33">
        <v>0</v>
      </c>
      <c r="P49" s="33">
        <v>0</v>
      </c>
      <c r="Q49" s="33">
        <v>518.4</v>
      </c>
      <c r="R49" s="33">
        <v>0</v>
      </c>
      <c r="S49" s="38">
        <v>3398</v>
      </c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1"/>
    </row>
    <row r="50" spans="1:35" x14ac:dyDescent="0.3">
      <c r="A50" s="32">
        <v>14</v>
      </c>
      <c r="B50" s="33">
        <v>3579</v>
      </c>
      <c r="C50" s="34">
        <v>45959</v>
      </c>
      <c r="D50" s="35" t="s">
        <v>195</v>
      </c>
      <c r="E50" s="33" t="s">
        <v>196</v>
      </c>
      <c r="F50" s="35"/>
      <c r="G50" s="35"/>
      <c r="H50" s="35"/>
      <c r="I50" s="35"/>
      <c r="J50" s="35"/>
      <c r="K50" s="35"/>
      <c r="L50" s="35"/>
      <c r="M50" s="35"/>
      <c r="N50" s="33">
        <v>5550</v>
      </c>
      <c r="O50" s="33">
        <v>0</v>
      </c>
      <c r="P50" s="33">
        <v>0</v>
      </c>
      <c r="Q50" s="33">
        <v>999</v>
      </c>
      <c r="R50" s="33">
        <v>0</v>
      </c>
      <c r="S50" s="38">
        <v>6549</v>
      </c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1"/>
    </row>
    <row r="51" spans="1:35" x14ac:dyDescent="0.3">
      <c r="A51" s="39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1"/>
    </row>
    <row r="52" spans="1:35" x14ac:dyDescent="0.3">
      <c r="A52" s="39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1"/>
    </row>
    <row r="53" spans="1:35" x14ac:dyDescent="0.3">
      <c r="A53" s="39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1"/>
    </row>
    <row r="54" spans="1:35" x14ac:dyDescent="0.3">
      <c r="A54" s="39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1"/>
    </row>
    <row r="55" spans="1:35" x14ac:dyDescent="0.3">
      <c r="A55" s="39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1"/>
    </row>
    <row r="56" spans="1:35" x14ac:dyDescent="0.3">
      <c r="A56" s="39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1"/>
    </row>
    <row r="57" spans="1:35" x14ac:dyDescent="0.3">
      <c r="A57" s="145" t="s">
        <v>172</v>
      </c>
      <c r="B57" s="146"/>
      <c r="C57" s="146"/>
      <c r="D57" s="146"/>
      <c r="E57" s="147"/>
      <c r="F57" s="37"/>
      <c r="G57" s="37"/>
      <c r="H57" s="37"/>
      <c r="I57" s="37"/>
      <c r="J57" s="37"/>
      <c r="K57" s="37"/>
      <c r="L57" s="37"/>
      <c r="M57" s="37"/>
      <c r="N57" s="50">
        <v>357622.07</v>
      </c>
      <c r="O57" s="51">
        <v>17489.1672</v>
      </c>
      <c r="P57" s="51">
        <v>17489.1672</v>
      </c>
      <c r="Q57" s="51">
        <v>29912.038199999999</v>
      </c>
      <c r="R57" s="51">
        <v>0</v>
      </c>
      <c r="S57" s="50">
        <v>425392.04</v>
      </c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1"/>
    </row>
    <row r="58" spans="1:35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1"/>
    </row>
    <row r="59" spans="1:35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42"/>
      <c r="P59" s="42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1"/>
    </row>
    <row r="60" spans="1:35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52"/>
      <c r="O60" s="35"/>
      <c r="P60" s="33" t="s">
        <v>197</v>
      </c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1"/>
    </row>
    <row r="61" spans="1:35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52"/>
      <c r="O61" s="33" t="s">
        <v>198</v>
      </c>
      <c r="P61" s="53">
        <v>119978.71</v>
      </c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1"/>
    </row>
    <row r="62" spans="1:35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52"/>
      <c r="O62" s="33" t="s">
        <v>199</v>
      </c>
      <c r="P62" s="54">
        <v>64890.372600000002</v>
      </c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1"/>
    </row>
    <row r="63" spans="1:35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52"/>
      <c r="O63" s="33" t="s">
        <v>200</v>
      </c>
      <c r="P63" s="53">
        <v>55088.34</v>
      </c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1"/>
    </row>
    <row r="64" spans="1:35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1"/>
    </row>
    <row r="65" spans="1:35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1"/>
    </row>
    <row r="66" spans="1:35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1"/>
    </row>
    <row r="67" spans="1:35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1"/>
    </row>
    <row r="68" spans="1:35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1"/>
    </row>
    <row r="69" spans="1:35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1"/>
    </row>
    <row r="70" spans="1:35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1"/>
    </row>
    <row r="71" spans="1:35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1"/>
    </row>
    <row r="72" spans="1:35" x14ac:dyDescent="0.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1"/>
    </row>
    <row r="73" spans="1:35" x14ac:dyDescent="0.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1"/>
    </row>
    <row r="74" spans="1:35" x14ac:dyDescent="0.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1"/>
    </row>
    <row r="75" spans="1:35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1"/>
    </row>
    <row r="76" spans="1:35" x14ac:dyDescent="0.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1"/>
    </row>
    <row r="77" spans="1:35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1"/>
    </row>
    <row r="78" spans="1:35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1"/>
    </row>
    <row r="79" spans="1:35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1"/>
    </row>
    <row r="80" spans="1:35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1"/>
    </row>
    <row r="81" spans="1:35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1"/>
    </row>
    <row r="82" spans="1:35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1"/>
    </row>
    <row r="83" spans="1:35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1"/>
    </row>
    <row r="84" spans="1:35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1"/>
    </row>
    <row r="85" spans="1:35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1"/>
    </row>
    <row r="86" spans="1:35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1"/>
    </row>
    <row r="87" spans="1:35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1"/>
    </row>
    <row r="88" spans="1:35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1"/>
    </row>
    <row r="89" spans="1:35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1"/>
    </row>
    <row r="90" spans="1:35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1"/>
    </row>
    <row r="91" spans="1:35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1"/>
    </row>
    <row r="92" spans="1:35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1"/>
    </row>
    <row r="93" spans="1:35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1"/>
    </row>
    <row r="94" spans="1:35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1"/>
    </row>
    <row r="95" spans="1:35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1"/>
    </row>
    <row r="96" spans="1:35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1"/>
    </row>
    <row r="97" spans="1:35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1"/>
    </row>
    <row r="98" spans="1:35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1"/>
    </row>
    <row r="99" spans="1:35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1"/>
    </row>
    <row r="100" spans="1:35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1"/>
    </row>
    <row r="101" spans="1:35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1"/>
    </row>
    <row r="102" spans="1:35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1"/>
    </row>
    <row r="103" spans="1:35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1"/>
    </row>
    <row r="104" spans="1:35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1"/>
    </row>
    <row r="105" spans="1:35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1"/>
    </row>
    <row r="106" spans="1:35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1"/>
    </row>
    <row r="107" spans="1:35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1"/>
    </row>
    <row r="108" spans="1:35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1"/>
    </row>
    <row r="109" spans="1:35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1"/>
    </row>
    <row r="110" spans="1:35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1"/>
    </row>
    <row r="111" spans="1:35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1"/>
    </row>
    <row r="112" spans="1:35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1"/>
    </row>
    <row r="113" spans="1:35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1"/>
    </row>
    <row r="114" spans="1:35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1"/>
    </row>
    <row r="115" spans="1:35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1"/>
    </row>
    <row r="116" spans="1:35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1"/>
    </row>
    <row r="117" spans="1:35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1"/>
    </row>
    <row r="118" spans="1:35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1"/>
    </row>
    <row r="119" spans="1:35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1"/>
    </row>
    <row r="120" spans="1:35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1"/>
    </row>
    <row r="121" spans="1:35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1"/>
    </row>
    <row r="122" spans="1:35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1"/>
    </row>
    <row r="123" spans="1:35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1"/>
    </row>
    <row r="124" spans="1:35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1"/>
    </row>
    <row r="125" spans="1:35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1"/>
    </row>
    <row r="126" spans="1:35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1"/>
    </row>
    <row r="127" spans="1:35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1"/>
    </row>
    <row r="128" spans="1:35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1"/>
    </row>
    <row r="129" spans="1:35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1"/>
    </row>
    <row r="130" spans="1:35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1"/>
    </row>
    <row r="131" spans="1:35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1"/>
    </row>
    <row r="132" spans="1:35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1"/>
    </row>
    <row r="133" spans="1:35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1"/>
    </row>
    <row r="134" spans="1:35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1"/>
    </row>
    <row r="135" spans="1:35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1"/>
    </row>
    <row r="136" spans="1:35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1"/>
    </row>
    <row r="137" spans="1:35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1"/>
    </row>
    <row r="138" spans="1:35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1"/>
    </row>
    <row r="139" spans="1:35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1"/>
    </row>
    <row r="140" spans="1:35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1"/>
    </row>
    <row r="141" spans="1:35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1"/>
    </row>
    <row r="142" spans="1:35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1"/>
    </row>
    <row r="143" spans="1:35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1"/>
    </row>
    <row r="144" spans="1:35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1"/>
    </row>
    <row r="145" spans="1:35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1"/>
    </row>
    <row r="146" spans="1:35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1"/>
    </row>
    <row r="147" spans="1:35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1"/>
    </row>
    <row r="148" spans="1:35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1"/>
    </row>
    <row r="149" spans="1:35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1"/>
    </row>
    <row r="150" spans="1:35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1"/>
    </row>
    <row r="151" spans="1:35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1"/>
    </row>
    <row r="152" spans="1:35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1"/>
    </row>
    <row r="153" spans="1:35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1"/>
    </row>
    <row r="154" spans="1:35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1"/>
    </row>
    <row r="155" spans="1:35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1"/>
    </row>
    <row r="156" spans="1:35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1"/>
    </row>
    <row r="157" spans="1:35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1"/>
    </row>
    <row r="158" spans="1:35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1"/>
    </row>
    <row r="159" spans="1:35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1"/>
    </row>
    <row r="160" spans="1:35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1"/>
    </row>
    <row r="161" spans="1:35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1"/>
    </row>
    <row r="162" spans="1:35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1"/>
    </row>
    <row r="163" spans="1:35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1"/>
    </row>
    <row r="164" spans="1:35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1"/>
    </row>
    <row r="165" spans="1:35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1"/>
    </row>
    <row r="166" spans="1:35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1"/>
    </row>
    <row r="167" spans="1:35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1"/>
    </row>
    <row r="168" spans="1:35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1"/>
    </row>
    <row r="169" spans="1:35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1"/>
    </row>
    <row r="170" spans="1:35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1"/>
    </row>
    <row r="171" spans="1:35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1"/>
    </row>
    <row r="172" spans="1:35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1"/>
    </row>
    <row r="173" spans="1:35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1"/>
    </row>
    <row r="174" spans="1:35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1"/>
    </row>
    <row r="175" spans="1:35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1"/>
    </row>
    <row r="176" spans="1:35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1"/>
    </row>
    <row r="177" spans="1:35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1"/>
    </row>
    <row r="178" spans="1:35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1"/>
    </row>
    <row r="179" spans="1:35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1"/>
    </row>
    <row r="180" spans="1:35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1"/>
    </row>
    <row r="181" spans="1:35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1"/>
    </row>
    <row r="182" spans="1:35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1"/>
    </row>
    <row r="183" spans="1:35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1"/>
    </row>
    <row r="184" spans="1:35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1"/>
    </row>
    <row r="185" spans="1:35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1"/>
    </row>
    <row r="186" spans="1:35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1"/>
    </row>
    <row r="187" spans="1:35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1"/>
    </row>
    <row r="188" spans="1:35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1"/>
    </row>
    <row r="189" spans="1:35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1"/>
    </row>
    <row r="190" spans="1:35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1"/>
    </row>
    <row r="191" spans="1:35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1"/>
    </row>
    <row r="192" spans="1:35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1"/>
    </row>
    <row r="193" spans="1:35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1"/>
    </row>
    <row r="194" spans="1:35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1"/>
    </row>
    <row r="195" spans="1:35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1"/>
    </row>
    <row r="196" spans="1:35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1"/>
    </row>
    <row r="197" spans="1:35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1"/>
    </row>
    <row r="198" spans="1:35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1"/>
    </row>
    <row r="199" spans="1:35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1"/>
    </row>
    <row r="200" spans="1:35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1"/>
    </row>
    <row r="201" spans="1:35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1"/>
    </row>
    <row r="202" spans="1:35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1"/>
    </row>
    <row r="203" spans="1:35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1"/>
    </row>
    <row r="204" spans="1:35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1"/>
    </row>
    <row r="205" spans="1:35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1"/>
    </row>
    <row r="206" spans="1:35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1"/>
    </row>
    <row r="207" spans="1:35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1"/>
    </row>
    <row r="208" spans="1:35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1"/>
    </row>
    <row r="209" spans="1:35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1"/>
    </row>
    <row r="210" spans="1:35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1"/>
    </row>
    <row r="211" spans="1:35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1"/>
    </row>
    <row r="212" spans="1:35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1"/>
    </row>
    <row r="213" spans="1:35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1"/>
    </row>
    <row r="214" spans="1:35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1"/>
    </row>
    <row r="215" spans="1:35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1"/>
    </row>
    <row r="216" spans="1:35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1"/>
    </row>
    <row r="217" spans="1:35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1"/>
    </row>
    <row r="218" spans="1:35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1"/>
    </row>
    <row r="219" spans="1:35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1"/>
    </row>
    <row r="220" spans="1:35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1"/>
    </row>
    <row r="221" spans="1:35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1"/>
    </row>
    <row r="222" spans="1:35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1"/>
    </row>
    <row r="223" spans="1:35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1"/>
    </row>
    <row r="224" spans="1:35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1"/>
    </row>
    <row r="225" spans="1:35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1"/>
    </row>
    <row r="226" spans="1:35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1"/>
    </row>
    <row r="227" spans="1:35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1"/>
    </row>
    <row r="228" spans="1:35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1"/>
    </row>
    <row r="229" spans="1:35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1"/>
    </row>
    <row r="230" spans="1:35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1"/>
    </row>
    <row r="231" spans="1:35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1"/>
    </row>
    <row r="232" spans="1:35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1"/>
    </row>
    <row r="233" spans="1:35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1"/>
    </row>
    <row r="234" spans="1:35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1"/>
    </row>
    <row r="235" spans="1:35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1"/>
    </row>
    <row r="236" spans="1:35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1"/>
    </row>
    <row r="237" spans="1:35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1"/>
    </row>
    <row r="238" spans="1:35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1"/>
    </row>
    <row r="239" spans="1:35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1"/>
    </row>
    <row r="240" spans="1:35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1"/>
    </row>
    <row r="241" spans="1:35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1"/>
    </row>
    <row r="242" spans="1:35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1"/>
    </row>
    <row r="243" spans="1:35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1"/>
    </row>
    <row r="244" spans="1:35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1"/>
    </row>
    <row r="245" spans="1:35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1"/>
    </row>
    <row r="246" spans="1:35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1"/>
    </row>
    <row r="247" spans="1:35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1"/>
    </row>
    <row r="248" spans="1:35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1"/>
    </row>
    <row r="249" spans="1:35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1"/>
    </row>
    <row r="250" spans="1:35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1"/>
    </row>
    <row r="251" spans="1:35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1"/>
    </row>
    <row r="252" spans="1:35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1"/>
    </row>
    <row r="253" spans="1:35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1"/>
    </row>
    <row r="254" spans="1:35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1"/>
    </row>
    <row r="255" spans="1:35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1"/>
    </row>
    <row r="256" spans="1:35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1"/>
    </row>
    <row r="257" spans="1:35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1"/>
    </row>
    <row r="258" spans="1:35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1"/>
    </row>
    <row r="259" spans="1:35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1"/>
    </row>
    <row r="260" spans="1:35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1"/>
    </row>
    <row r="261" spans="1:35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1"/>
    </row>
    <row r="262" spans="1:35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1"/>
    </row>
    <row r="263" spans="1:35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1"/>
    </row>
    <row r="264" spans="1:35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1"/>
    </row>
    <row r="265" spans="1:35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1"/>
    </row>
    <row r="266" spans="1:35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1"/>
    </row>
    <row r="267" spans="1:35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1"/>
    </row>
    <row r="268" spans="1:35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1"/>
    </row>
    <row r="269" spans="1:35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1"/>
    </row>
    <row r="270" spans="1:35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1"/>
    </row>
    <row r="271" spans="1:35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1"/>
    </row>
    <row r="272" spans="1:35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1"/>
    </row>
    <row r="273" spans="1:35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1"/>
    </row>
    <row r="274" spans="1:35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1"/>
    </row>
    <row r="275" spans="1:35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1"/>
    </row>
    <row r="276" spans="1:35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1"/>
    </row>
    <row r="277" spans="1:35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1"/>
    </row>
    <row r="278" spans="1:35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1"/>
    </row>
    <row r="279" spans="1:35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1"/>
    </row>
    <row r="280" spans="1:35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1"/>
    </row>
    <row r="281" spans="1:35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1"/>
    </row>
    <row r="282" spans="1:35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1"/>
    </row>
    <row r="283" spans="1:35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1"/>
    </row>
    <row r="284" spans="1:35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1"/>
    </row>
    <row r="285" spans="1:35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1"/>
    </row>
    <row r="286" spans="1:35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1"/>
    </row>
    <row r="287" spans="1:35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1"/>
    </row>
    <row r="288" spans="1:35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1"/>
    </row>
    <row r="289" spans="1:35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1"/>
    </row>
    <row r="290" spans="1:35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1"/>
    </row>
    <row r="291" spans="1:35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1"/>
    </row>
    <row r="292" spans="1:35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1"/>
    </row>
    <row r="293" spans="1:35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1"/>
    </row>
    <row r="294" spans="1:35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1"/>
    </row>
    <row r="295" spans="1:35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1"/>
    </row>
    <row r="296" spans="1:35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1"/>
    </row>
    <row r="297" spans="1:35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1"/>
    </row>
    <row r="298" spans="1:35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1"/>
    </row>
    <row r="299" spans="1:35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1"/>
    </row>
    <row r="300" spans="1:35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1"/>
    </row>
    <row r="301" spans="1:35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1"/>
    </row>
    <row r="302" spans="1:35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1"/>
    </row>
    <row r="303" spans="1:35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1"/>
    </row>
    <row r="304" spans="1:35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1"/>
    </row>
    <row r="305" spans="1:35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1"/>
    </row>
    <row r="306" spans="1:35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1"/>
    </row>
    <row r="307" spans="1:35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1"/>
    </row>
    <row r="308" spans="1:35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1"/>
    </row>
    <row r="309" spans="1:35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1"/>
    </row>
    <row r="310" spans="1:35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1"/>
    </row>
    <row r="311" spans="1:35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1"/>
    </row>
    <row r="312" spans="1:35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1"/>
    </row>
    <row r="313" spans="1:35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1"/>
    </row>
    <row r="314" spans="1:35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1"/>
    </row>
    <row r="315" spans="1:35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1"/>
    </row>
    <row r="316" spans="1:35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1"/>
    </row>
    <row r="317" spans="1:35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1"/>
    </row>
    <row r="318" spans="1:35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1"/>
    </row>
    <row r="319" spans="1:35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1"/>
    </row>
    <row r="320" spans="1:35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1"/>
    </row>
    <row r="321" spans="1:35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1"/>
    </row>
    <row r="322" spans="1:35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1"/>
    </row>
    <row r="323" spans="1:35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1"/>
    </row>
    <row r="324" spans="1:35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1"/>
    </row>
    <row r="325" spans="1:35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1"/>
    </row>
    <row r="326" spans="1:35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1"/>
    </row>
    <row r="327" spans="1:35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1"/>
    </row>
    <row r="328" spans="1:35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1"/>
    </row>
    <row r="329" spans="1:35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1"/>
    </row>
    <row r="330" spans="1:35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1"/>
    </row>
    <row r="331" spans="1:35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1"/>
    </row>
    <row r="332" spans="1:35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1"/>
    </row>
    <row r="333" spans="1:35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1"/>
    </row>
    <row r="334" spans="1:35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1"/>
    </row>
    <row r="335" spans="1:35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1"/>
    </row>
    <row r="336" spans="1:35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1"/>
    </row>
    <row r="337" spans="1:35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1"/>
    </row>
    <row r="338" spans="1:35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1"/>
    </row>
    <row r="339" spans="1:35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1"/>
    </row>
    <row r="340" spans="1:35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1"/>
    </row>
    <row r="341" spans="1:35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1"/>
    </row>
    <row r="342" spans="1:35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1"/>
    </row>
    <row r="343" spans="1:35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1"/>
    </row>
    <row r="344" spans="1:35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1"/>
    </row>
    <row r="345" spans="1:35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1"/>
    </row>
    <row r="346" spans="1:35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1"/>
    </row>
    <row r="347" spans="1:35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1"/>
    </row>
    <row r="348" spans="1:35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1"/>
    </row>
    <row r="349" spans="1:35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1"/>
    </row>
    <row r="350" spans="1:35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1"/>
    </row>
    <row r="351" spans="1:35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1"/>
    </row>
    <row r="352" spans="1:35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1"/>
    </row>
    <row r="353" spans="1:35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1"/>
    </row>
    <row r="354" spans="1:35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1"/>
    </row>
    <row r="355" spans="1:35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1"/>
    </row>
    <row r="356" spans="1:35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1"/>
    </row>
    <row r="357" spans="1:35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1"/>
    </row>
    <row r="358" spans="1:35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1"/>
    </row>
    <row r="359" spans="1:35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1"/>
    </row>
    <row r="360" spans="1:35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1"/>
    </row>
    <row r="361" spans="1:35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1"/>
    </row>
    <row r="362" spans="1:35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1"/>
    </row>
    <row r="363" spans="1:35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1"/>
    </row>
    <row r="364" spans="1:35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1"/>
    </row>
    <row r="365" spans="1:35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1"/>
    </row>
    <row r="366" spans="1:35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1"/>
    </row>
    <row r="367" spans="1:35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1"/>
    </row>
    <row r="368" spans="1:35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1"/>
    </row>
    <row r="369" spans="1:35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1"/>
    </row>
    <row r="370" spans="1:35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1"/>
    </row>
    <row r="371" spans="1:35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1"/>
    </row>
    <row r="372" spans="1:35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1"/>
    </row>
    <row r="373" spans="1:35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1"/>
    </row>
    <row r="374" spans="1:35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1"/>
    </row>
    <row r="375" spans="1:35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1"/>
    </row>
    <row r="376" spans="1:35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1"/>
    </row>
    <row r="377" spans="1:35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1"/>
    </row>
    <row r="378" spans="1:35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1"/>
    </row>
    <row r="379" spans="1:35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1"/>
    </row>
    <row r="380" spans="1:35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1"/>
    </row>
    <row r="381" spans="1:35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1"/>
    </row>
    <row r="382" spans="1:35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1"/>
    </row>
    <row r="383" spans="1:35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1"/>
    </row>
    <row r="384" spans="1:35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1"/>
    </row>
    <row r="385" spans="1:35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1"/>
    </row>
    <row r="386" spans="1:35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1"/>
    </row>
    <row r="387" spans="1:35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1"/>
    </row>
    <row r="388" spans="1:35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1"/>
    </row>
    <row r="389" spans="1:35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1"/>
    </row>
    <row r="390" spans="1:35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1"/>
    </row>
    <row r="391" spans="1:35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1"/>
    </row>
    <row r="392" spans="1:35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1"/>
    </row>
    <row r="393" spans="1:35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1"/>
    </row>
    <row r="394" spans="1:35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1"/>
    </row>
    <row r="395" spans="1:35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1"/>
    </row>
    <row r="396" spans="1:35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1"/>
    </row>
    <row r="397" spans="1:35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1"/>
    </row>
    <row r="398" spans="1:35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1"/>
    </row>
    <row r="399" spans="1:35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1"/>
    </row>
    <row r="400" spans="1:35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1"/>
    </row>
    <row r="401" spans="1:35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1"/>
    </row>
    <row r="402" spans="1:35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1"/>
    </row>
    <row r="403" spans="1:35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1"/>
    </row>
    <row r="404" spans="1:35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1"/>
    </row>
    <row r="405" spans="1:35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1"/>
    </row>
    <row r="406" spans="1:35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1"/>
    </row>
    <row r="407" spans="1:35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1"/>
    </row>
    <row r="408" spans="1:35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1"/>
    </row>
    <row r="409" spans="1:35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1"/>
    </row>
    <row r="410" spans="1:35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1"/>
    </row>
    <row r="411" spans="1:35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1"/>
    </row>
    <row r="412" spans="1:35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1"/>
    </row>
    <row r="413" spans="1:35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1"/>
    </row>
    <row r="414" spans="1:35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1"/>
    </row>
    <row r="415" spans="1:35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1"/>
    </row>
    <row r="416" spans="1:35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1"/>
    </row>
    <row r="417" spans="1:35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1"/>
    </row>
    <row r="418" spans="1:35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1"/>
    </row>
    <row r="419" spans="1:35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1"/>
    </row>
    <row r="420" spans="1:35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1"/>
    </row>
    <row r="421" spans="1:35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1"/>
    </row>
    <row r="422" spans="1:35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1"/>
    </row>
    <row r="423" spans="1:35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1"/>
    </row>
    <row r="424" spans="1:35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1"/>
    </row>
    <row r="425" spans="1:35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1"/>
    </row>
    <row r="426" spans="1:35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1"/>
    </row>
    <row r="427" spans="1:35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1"/>
    </row>
    <row r="428" spans="1:35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1"/>
    </row>
    <row r="429" spans="1:35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1"/>
    </row>
    <row r="430" spans="1:35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1"/>
    </row>
    <row r="431" spans="1:35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1"/>
    </row>
    <row r="432" spans="1:35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1"/>
    </row>
    <row r="433" spans="1:35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1"/>
    </row>
    <row r="434" spans="1:35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1"/>
    </row>
    <row r="435" spans="1:35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1"/>
    </row>
    <row r="436" spans="1:35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1"/>
    </row>
    <row r="437" spans="1:35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1"/>
    </row>
    <row r="438" spans="1:35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1"/>
    </row>
    <row r="439" spans="1:35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1"/>
    </row>
    <row r="440" spans="1:35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1"/>
    </row>
    <row r="441" spans="1:35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1"/>
    </row>
    <row r="442" spans="1:35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1"/>
    </row>
    <row r="443" spans="1:35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1"/>
    </row>
    <row r="444" spans="1:35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1"/>
    </row>
    <row r="445" spans="1:35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1"/>
    </row>
    <row r="446" spans="1:35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1"/>
    </row>
    <row r="447" spans="1:35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1"/>
    </row>
    <row r="448" spans="1:35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1"/>
    </row>
    <row r="449" spans="1:35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1"/>
    </row>
    <row r="450" spans="1:35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1"/>
    </row>
    <row r="451" spans="1:35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1"/>
    </row>
    <row r="452" spans="1:35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1"/>
    </row>
    <row r="453" spans="1:35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1"/>
    </row>
    <row r="454" spans="1:35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1"/>
    </row>
    <row r="455" spans="1:35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1"/>
    </row>
    <row r="456" spans="1:35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1"/>
    </row>
    <row r="457" spans="1:35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1"/>
    </row>
    <row r="458" spans="1:35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1"/>
    </row>
    <row r="459" spans="1:35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1"/>
    </row>
    <row r="460" spans="1:35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1"/>
    </row>
    <row r="461" spans="1:35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1"/>
    </row>
    <row r="462" spans="1:35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1"/>
    </row>
    <row r="463" spans="1:35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1"/>
    </row>
    <row r="464" spans="1:35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1"/>
    </row>
    <row r="465" spans="1:35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1"/>
    </row>
    <row r="466" spans="1:35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1"/>
    </row>
    <row r="467" spans="1:35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1"/>
    </row>
    <row r="468" spans="1:35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1"/>
    </row>
    <row r="469" spans="1:35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1"/>
    </row>
    <row r="470" spans="1:35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1"/>
    </row>
    <row r="471" spans="1:35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1"/>
    </row>
    <row r="472" spans="1:35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1"/>
    </row>
    <row r="473" spans="1:35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1"/>
    </row>
    <row r="474" spans="1:35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1"/>
    </row>
    <row r="475" spans="1:35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1"/>
    </row>
    <row r="476" spans="1:35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1"/>
    </row>
    <row r="477" spans="1:35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1"/>
    </row>
    <row r="478" spans="1:35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1"/>
    </row>
    <row r="479" spans="1:35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1"/>
    </row>
    <row r="480" spans="1:35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1"/>
    </row>
    <row r="481" spans="1:35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1"/>
    </row>
    <row r="482" spans="1:35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1"/>
    </row>
    <row r="483" spans="1:35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1"/>
    </row>
    <row r="484" spans="1:35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1"/>
    </row>
    <row r="485" spans="1:35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1"/>
    </row>
    <row r="486" spans="1:35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1"/>
    </row>
    <row r="487" spans="1:35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1"/>
    </row>
    <row r="488" spans="1:35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1"/>
    </row>
    <row r="489" spans="1:35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1"/>
    </row>
    <row r="490" spans="1:35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1"/>
    </row>
    <row r="491" spans="1:35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1"/>
    </row>
    <row r="492" spans="1:35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1"/>
    </row>
    <row r="493" spans="1:35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1"/>
    </row>
    <row r="494" spans="1:35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1"/>
    </row>
    <row r="495" spans="1:35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1"/>
    </row>
    <row r="496" spans="1:35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1"/>
    </row>
    <row r="497" spans="1:35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1"/>
    </row>
    <row r="498" spans="1:35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1"/>
    </row>
    <row r="499" spans="1:35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1"/>
    </row>
    <row r="500" spans="1:35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1"/>
    </row>
    <row r="501" spans="1:35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1"/>
    </row>
    <row r="502" spans="1:35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1"/>
    </row>
    <row r="503" spans="1:35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1"/>
    </row>
    <row r="504" spans="1:35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1"/>
    </row>
    <row r="505" spans="1:35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1"/>
    </row>
    <row r="506" spans="1:35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1"/>
    </row>
    <row r="507" spans="1:35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1"/>
    </row>
    <row r="508" spans="1:35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1"/>
    </row>
    <row r="509" spans="1:35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1"/>
    </row>
    <row r="510" spans="1:35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1"/>
    </row>
    <row r="511" spans="1:35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1"/>
    </row>
    <row r="512" spans="1:35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1"/>
    </row>
    <row r="513" spans="1:35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1"/>
    </row>
    <row r="514" spans="1:35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1"/>
    </row>
    <row r="515" spans="1:35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1"/>
    </row>
    <row r="516" spans="1:35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1"/>
    </row>
    <row r="517" spans="1:35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1"/>
    </row>
    <row r="518" spans="1:35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1"/>
    </row>
    <row r="519" spans="1:35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1"/>
    </row>
    <row r="520" spans="1:35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1"/>
    </row>
    <row r="521" spans="1:35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1"/>
    </row>
    <row r="522" spans="1:35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1"/>
    </row>
    <row r="523" spans="1:35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1"/>
    </row>
    <row r="524" spans="1:35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1"/>
    </row>
    <row r="525" spans="1:35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1"/>
    </row>
    <row r="526" spans="1:35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1"/>
    </row>
    <row r="527" spans="1:35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1"/>
    </row>
    <row r="528" spans="1:35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1"/>
    </row>
    <row r="529" spans="1:35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1"/>
    </row>
    <row r="530" spans="1:35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1"/>
    </row>
    <row r="531" spans="1:35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1"/>
    </row>
    <row r="532" spans="1:35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1"/>
    </row>
    <row r="533" spans="1:35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1"/>
    </row>
    <row r="534" spans="1:35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1"/>
    </row>
    <row r="535" spans="1:35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1"/>
    </row>
    <row r="536" spans="1:35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1"/>
    </row>
    <row r="537" spans="1:35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1"/>
    </row>
    <row r="538" spans="1:35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1"/>
    </row>
    <row r="539" spans="1:35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1"/>
    </row>
    <row r="540" spans="1:35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1"/>
    </row>
    <row r="541" spans="1:35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1"/>
    </row>
    <row r="542" spans="1:35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1"/>
    </row>
    <row r="543" spans="1:35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1"/>
    </row>
    <row r="544" spans="1:35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1"/>
    </row>
    <row r="545" spans="1:35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1"/>
    </row>
    <row r="546" spans="1:35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1"/>
    </row>
    <row r="547" spans="1:35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1"/>
    </row>
    <row r="548" spans="1:35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1"/>
    </row>
    <row r="549" spans="1:35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1"/>
    </row>
    <row r="550" spans="1:35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1"/>
    </row>
    <row r="551" spans="1:35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1"/>
    </row>
    <row r="552" spans="1:35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1"/>
    </row>
    <row r="553" spans="1:35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1"/>
    </row>
    <row r="554" spans="1:35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1"/>
    </row>
    <row r="555" spans="1:35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1"/>
    </row>
    <row r="556" spans="1:35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1"/>
    </row>
    <row r="557" spans="1:35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1"/>
    </row>
    <row r="558" spans="1:35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1"/>
    </row>
    <row r="559" spans="1:35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1"/>
    </row>
    <row r="560" spans="1:35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1"/>
    </row>
    <row r="561" spans="1:35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1"/>
    </row>
    <row r="562" spans="1:35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1"/>
    </row>
    <row r="563" spans="1:35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1"/>
    </row>
    <row r="564" spans="1:35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1"/>
    </row>
    <row r="565" spans="1:35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1"/>
    </row>
    <row r="566" spans="1:35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1"/>
    </row>
    <row r="567" spans="1:35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1"/>
    </row>
    <row r="568" spans="1:35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1"/>
    </row>
    <row r="569" spans="1:35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1"/>
    </row>
    <row r="570" spans="1:35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1"/>
    </row>
    <row r="571" spans="1:35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1"/>
    </row>
    <row r="572" spans="1:35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1"/>
    </row>
    <row r="573" spans="1:35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1"/>
    </row>
    <row r="574" spans="1:35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1"/>
    </row>
    <row r="575" spans="1:35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1"/>
    </row>
    <row r="576" spans="1:35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1"/>
    </row>
    <row r="577" spans="1:35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1"/>
    </row>
    <row r="578" spans="1:35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1"/>
    </row>
    <row r="579" spans="1:35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1"/>
    </row>
    <row r="580" spans="1:35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1"/>
    </row>
    <row r="581" spans="1:35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1"/>
    </row>
    <row r="582" spans="1:35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1"/>
    </row>
    <row r="583" spans="1:35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1"/>
    </row>
    <row r="584" spans="1:35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1"/>
    </row>
    <row r="585" spans="1:35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1"/>
    </row>
    <row r="586" spans="1:35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1"/>
    </row>
    <row r="587" spans="1:35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1"/>
    </row>
    <row r="588" spans="1:35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1"/>
    </row>
    <row r="589" spans="1:35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1"/>
    </row>
    <row r="590" spans="1:35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1"/>
    </row>
    <row r="591" spans="1:35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1"/>
    </row>
    <row r="592" spans="1:35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1"/>
    </row>
    <row r="593" spans="1:35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1"/>
    </row>
    <row r="594" spans="1:35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1"/>
    </row>
    <row r="595" spans="1:35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1"/>
    </row>
    <row r="596" spans="1:35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1"/>
    </row>
    <row r="597" spans="1:35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1"/>
    </row>
    <row r="598" spans="1:35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1"/>
    </row>
    <row r="599" spans="1:35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1"/>
    </row>
    <row r="600" spans="1:35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1"/>
    </row>
    <row r="601" spans="1:35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1"/>
    </row>
    <row r="602" spans="1:35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1"/>
    </row>
    <row r="603" spans="1:35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1"/>
    </row>
    <row r="604" spans="1:35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1"/>
    </row>
    <row r="605" spans="1:35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1"/>
    </row>
    <row r="606" spans="1:35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1"/>
    </row>
    <row r="607" spans="1:35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1"/>
    </row>
    <row r="608" spans="1:35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1"/>
    </row>
    <row r="609" spans="1:35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1"/>
    </row>
    <row r="610" spans="1:35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1"/>
    </row>
    <row r="611" spans="1:35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1"/>
    </row>
    <row r="612" spans="1:35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1"/>
    </row>
    <row r="613" spans="1:35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1"/>
    </row>
    <row r="614" spans="1:35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1"/>
    </row>
    <row r="615" spans="1:35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1"/>
    </row>
    <row r="616" spans="1:35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1"/>
    </row>
    <row r="617" spans="1:35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1"/>
    </row>
    <row r="618" spans="1:35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1"/>
    </row>
    <row r="619" spans="1:35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1"/>
    </row>
    <row r="620" spans="1:35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1"/>
    </row>
    <row r="621" spans="1:35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1"/>
    </row>
    <row r="622" spans="1:35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1"/>
    </row>
    <row r="623" spans="1:35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1"/>
    </row>
    <row r="624" spans="1:35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1"/>
    </row>
    <row r="625" spans="1:35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1"/>
    </row>
    <row r="626" spans="1:35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1"/>
    </row>
    <row r="627" spans="1:35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1"/>
    </row>
    <row r="628" spans="1:35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1"/>
    </row>
    <row r="629" spans="1:35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1"/>
    </row>
    <row r="630" spans="1:35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1"/>
    </row>
    <row r="631" spans="1:35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1"/>
    </row>
    <row r="632" spans="1:35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1"/>
    </row>
    <row r="633" spans="1:35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1"/>
    </row>
    <row r="634" spans="1:35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1"/>
    </row>
    <row r="635" spans="1:35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1"/>
    </row>
    <row r="636" spans="1:35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1"/>
    </row>
    <row r="637" spans="1:35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1"/>
    </row>
    <row r="638" spans="1:35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1"/>
    </row>
    <row r="639" spans="1:35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1"/>
    </row>
    <row r="640" spans="1:35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1"/>
    </row>
    <row r="641" spans="1:35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1"/>
    </row>
    <row r="642" spans="1:35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1"/>
    </row>
    <row r="643" spans="1:35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1"/>
    </row>
    <row r="644" spans="1:35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1"/>
    </row>
    <row r="645" spans="1:35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1"/>
    </row>
    <row r="646" spans="1:35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1"/>
    </row>
    <row r="647" spans="1:35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1"/>
    </row>
    <row r="648" spans="1:35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1"/>
    </row>
    <row r="649" spans="1:35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1"/>
    </row>
    <row r="650" spans="1:35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1"/>
    </row>
    <row r="651" spans="1:35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1"/>
    </row>
    <row r="652" spans="1:35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1"/>
    </row>
    <row r="653" spans="1:35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1"/>
    </row>
    <row r="654" spans="1:35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1"/>
    </row>
    <row r="655" spans="1:35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1"/>
    </row>
    <row r="656" spans="1:35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1"/>
    </row>
    <row r="657" spans="1:35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1"/>
    </row>
    <row r="658" spans="1:35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1"/>
    </row>
    <row r="659" spans="1:35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1"/>
    </row>
    <row r="660" spans="1:35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1"/>
    </row>
    <row r="661" spans="1:35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1"/>
    </row>
    <row r="662" spans="1:35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1"/>
    </row>
    <row r="663" spans="1:35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1"/>
    </row>
    <row r="664" spans="1:35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1"/>
    </row>
    <row r="665" spans="1:35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1"/>
    </row>
    <row r="666" spans="1:35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1"/>
    </row>
    <row r="667" spans="1:35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1"/>
    </row>
    <row r="668" spans="1:35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1"/>
    </row>
    <row r="669" spans="1:35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1"/>
    </row>
    <row r="670" spans="1:35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1"/>
    </row>
    <row r="671" spans="1:35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1"/>
    </row>
    <row r="672" spans="1:35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1"/>
    </row>
    <row r="673" spans="1:35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1"/>
    </row>
    <row r="674" spans="1:35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1"/>
    </row>
    <row r="675" spans="1:35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1"/>
    </row>
    <row r="676" spans="1:35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1"/>
    </row>
    <row r="677" spans="1:35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1"/>
    </row>
    <row r="678" spans="1:35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1"/>
    </row>
    <row r="679" spans="1:35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1"/>
    </row>
    <row r="680" spans="1:35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1"/>
    </row>
    <row r="681" spans="1:35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1"/>
    </row>
    <row r="682" spans="1:35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1"/>
    </row>
    <row r="683" spans="1:35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1"/>
    </row>
    <row r="684" spans="1:35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1"/>
    </row>
    <row r="685" spans="1:35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1"/>
    </row>
    <row r="686" spans="1:35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1"/>
    </row>
    <row r="687" spans="1:35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1"/>
    </row>
    <row r="688" spans="1:35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1"/>
    </row>
    <row r="689" spans="1:35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1"/>
    </row>
    <row r="690" spans="1:35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1"/>
    </row>
    <row r="691" spans="1:35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1"/>
    </row>
    <row r="692" spans="1:35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1"/>
    </row>
    <row r="693" spans="1:35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1"/>
    </row>
    <row r="694" spans="1:35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1"/>
    </row>
    <row r="695" spans="1:35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1"/>
    </row>
    <row r="696" spans="1:35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1"/>
    </row>
    <row r="697" spans="1:35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1"/>
    </row>
    <row r="698" spans="1:35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1"/>
    </row>
    <row r="699" spans="1:35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1"/>
    </row>
    <row r="700" spans="1:35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1"/>
    </row>
    <row r="701" spans="1:35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1"/>
    </row>
    <row r="702" spans="1:35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1"/>
    </row>
    <row r="703" spans="1:35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1"/>
    </row>
    <row r="704" spans="1:35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1"/>
    </row>
    <row r="705" spans="1:35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1"/>
    </row>
    <row r="706" spans="1:35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1"/>
    </row>
    <row r="707" spans="1:35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1"/>
    </row>
    <row r="708" spans="1:35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1"/>
    </row>
    <row r="709" spans="1:35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1"/>
    </row>
    <row r="710" spans="1:35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1"/>
    </row>
    <row r="711" spans="1:35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1"/>
    </row>
    <row r="712" spans="1:35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1"/>
    </row>
    <row r="713" spans="1:35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1"/>
    </row>
    <row r="714" spans="1:35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1"/>
    </row>
    <row r="715" spans="1:35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1"/>
    </row>
    <row r="716" spans="1:35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1"/>
    </row>
    <row r="717" spans="1:35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1"/>
    </row>
    <row r="718" spans="1:35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1"/>
    </row>
    <row r="719" spans="1:35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1"/>
    </row>
    <row r="720" spans="1:35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1"/>
    </row>
    <row r="721" spans="1:35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1"/>
    </row>
    <row r="722" spans="1:35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1"/>
    </row>
    <row r="723" spans="1:35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1"/>
    </row>
    <row r="724" spans="1:35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1"/>
    </row>
    <row r="725" spans="1:35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1"/>
    </row>
    <row r="726" spans="1:35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1"/>
    </row>
    <row r="727" spans="1:35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1"/>
    </row>
    <row r="728" spans="1:35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1"/>
    </row>
    <row r="729" spans="1:35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1"/>
    </row>
    <row r="730" spans="1:35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1"/>
    </row>
    <row r="731" spans="1:35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1"/>
    </row>
    <row r="732" spans="1:35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1"/>
    </row>
    <row r="733" spans="1:35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1"/>
    </row>
    <row r="734" spans="1:35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1"/>
    </row>
    <row r="735" spans="1:35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1"/>
    </row>
    <row r="736" spans="1:35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1"/>
    </row>
    <row r="737" spans="1:35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1"/>
    </row>
    <row r="738" spans="1:35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1"/>
    </row>
    <row r="739" spans="1:35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1"/>
    </row>
    <row r="740" spans="1:35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1"/>
    </row>
    <row r="741" spans="1:35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1"/>
    </row>
    <row r="742" spans="1:35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1"/>
    </row>
    <row r="743" spans="1:35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1"/>
    </row>
    <row r="744" spans="1:35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1"/>
    </row>
    <row r="745" spans="1:35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1"/>
    </row>
    <row r="746" spans="1:35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1"/>
    </row>
    <row r="747" spans="1:35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1"/>
    </row>
    <row r="748" spans="1:35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1"/>
    </row>
    <row r="749" spans="1:35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1"/>
    </row>
    <row r="750" spans="1:35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1"/>
    </row>
    <row r="751" spans="1:35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1"/>
    </row>
    <row r="752" spans="1:35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1"/>
    </row>
    <row r="753" spans="1:35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1"/>
    </row>
    <row r="754" spans="1:35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1"/>
    </row>
    <row r="755" spans="1:35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1"/>
    </row>
    <row r="756" spans="1:35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1"/>
    </row>
    <row r="757" spans="1:35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1"/>
    </row>
    <row r="758" spans="1:35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1"/>
    </row>
    <row r="759" spans="1:35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1"/>
    </row>
    <row r="760" spans="1:35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1"/>
    </row>
    <row r="761" spans="1:35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1"/>
    </row>
    <row r="762" spans="1:35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1"/>
    </row>
    <row r="763" spans="1:35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1"/>
    </row>
    <row r="764" spans="1:35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1"/>
    </row>
    <row r="765" spans="1:35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1"/>
    </row>
    <row r="766" spans="1:35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1"/>
    </row>
    <row r="767" spans="1:35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1"/>
    </row>
    <row r="768" spans="1:35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1"/>
    </row>
    <row r="769" spans="1:35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1"/>
    </row>
    <row r="770" spans="1:35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1"/>
    </row>
    <row r="771" spans="1:35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1"/>
    </row>
    <row r="772" spans="1:35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1"/>
    </row>
    <row r="773" spans="1:35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1"/>
    </row>
    <row r="774" spans="1:35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1"/>
    </row>
    <row r="775" spans="1:35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1"/>
    </row>
    <row r="776" spans="1:35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1"/>
    </row>
    <row r="777" spans="1:35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1"/>
    </row>
    <row r="778" spans="1:35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1"/>
    </row>
    <row r="779" spans="1:35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1"/>
    </row>
    <row r="780" spans="1:35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1"/>
    </row>
    <row r="781" spans="1:35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1"/>
    </row>
    <row r="782" spans="1:35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1"/>
    </row>
    <row r="783" spans="1:35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1"/>
    </row>
    <row r="784" spans="1:35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1"/>
    </row>
    <row r="785" spans="1:35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1"/>
    </row>
    <row r="786" spans="1:35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1"/>
    </row>
    <row r="787" spans="1:35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1"/>
    </row>
    <row r="788" spans="1:35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1"/>
    </row>
    <row r="789" spans="1:35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1"/>
    </row>
    <row r="790" spans="1:35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1"/>
    </row>
    <row r="791" spans="1:35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1"/>
    </row>
    <row r="792" spans="1:35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1"/>
    </row>
    <row r="793" spans="1:35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1"/>
    </row>
    <row r="794" spans="1:35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1"/>
    </row>
    <row r="795" spans="1:35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1"/>
    </row>
    <row r="796" spans="1:35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1"/>
    </row>
    <row r="797" spans="1:35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1"/>
    </row>
    <row r="798" spans="1:35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1"/>
    </row>
    <row r="799" spans="1:35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1"/>
    </row>
    <row r="800" spans="1:35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1"/>
    </row>
    <row r="801" spans="1:35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1"/>
    </row>
    <row r="802" spans="1:35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1"/>
    </row>
    <row r="803" spans="1:35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1"/>
    </row>
    <row r="804" spans="1:35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1"/>
    </row>
    <row r="805" spans="1:35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1"/>
    </row>
    <row r="806" spans="1:35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1"/>
    </row>
    <row r="807" spans="1:35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1"/>
    </row>
    <row r="808" spans="1:35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1"/>
    </row>
    <row r="809" spans="1:35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1"/>
    </row>
    <row r="810" spans="1:35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1"/>
    </row>
    <row r="811" spans="1:35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1"/>
    </row>
    <row r="812" spans="1:35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1"/>
    </row>
    <row r="813" spans="1:35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1"/>
    </row>
    <row r="814" spans="1:35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1"/>
    </row>
    <row r="815" spans="1:35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1"/>
    </row>
    <row r="816" spans="1:35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1"/>
    </row>
    <row r="817" spans="1:35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1"/>
    </row>
    <row r="818" spans="1:35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1"/>
    </row>
    <row r="819" spans="1:35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1"/>
    </row>
    <row r="820" spans="1:35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1"/>
    </row>
    <row r="821" spans="1:35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1"/>
    </row>
    <row r="822" spans="1:35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1"/>
    </row>
    <row r="823" spans="1:35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1"/>
    </row>
    <row r="824" spans="1:35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1"/>
    </row>
    <row r="825" spans="1:35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1"/>
    </row>
    <row r="826" spans="1:35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1"/>
    </row>
    <row r="827" spans="1:35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1"/>
    </row>
    <row r="828" spans="1:35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1"/>
    </row>
    <row r="829" spans="1:35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1"/>
    </row>
    <row r="830" spans="1:35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1"/>
    </row>
    <row r="831" spans="1:35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1"/>
    </row>
    <row r="832" spans="1:35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1"/>
    </row>
    <row r="833" spans="1:35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1"/>
    </row>
    <row r="834" spans="1:35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1"/>
    </row>
    <row r="835" spans="1:35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1"/>
    </row>
    <row r="836" spans="1:35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1"/>
    </row>
    <row r="837" spans="1:35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1"/>
    </row>
    <row r="838" spans="1:35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1"/>
    </row>
    <row r="839" spans="1:35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1"/>
    </row>
    <row r="840" spans="1:35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1"/>
    </row>
    <row r="841" spans="1:35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1"/>
    </row>
    <row r="842" spans="1:35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1"/>
    </row>
    <row r="843" spans="1:35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1"/>
    </row>
    <row r="844" spans="1:35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1"/>
    </row>
    <row r="845" spans="1:35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1"/>
    </row>
    <row r="846" spans="1:35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1"/>
    </row>
    <row r="847" spans="1:35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1"/>
    </row>
    <row r="848" spans="1:35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1"/>
    </row>
    <row r="849" spans="1:35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1"/>
    </row>
    <row r="850" spans="1:35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1"/>
    </row>
    <row r="851" spans="1:35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1"/>
    </row>
    <row r="852" spans="1:35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1"/>
    </row>
    <row r="853" spans="1:35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1"/>
    </row>
    <row r="854" spans="1:35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1"/>
    </row>
    <row r="855" spans="1:35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1"/>
    </row>
    <row r="856" spans="1:35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1"/>
    </row>
    <row r="857" spans="1:35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1"/>
    </row>
    <row r="858" spans="1:35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1"/>
    </row>
    <row r="859" spans="1:35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1"/>
    </row>
    <row r="860" spans="1:35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1"/>
    </row>
    <row r="861" spans="1:35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1"/>
    </row>
    <row r="862" spans="1:35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1"/>
    </row>
    <row r="863" spans="1:35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1"/>
    </row>
    <row r="864" spans="1:35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1"/>
    </row>
    <row r="865" spans="1:35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1"/>
    </row>
    <row r="866" spans="1:35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1"/>
    </row>
    <row r="867" spans="1:35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1"/>
    </row>
    <row r="868" spans="1:35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1"/>
    </row>
    <row r="869" spans="1:35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1"/>
    </row>
    <row r="870" spans="1:35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1"/>
    </row>
    <row r="871" spans="1:35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1"/>
    </row>
    <row r="872" spans="1:35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1"/>
    </row>
    <row r="873" spans="1:35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1"/>
    </row>
    <row r="874" spans="1:35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1"/>
    </row>
    <row r="875" spans="1:35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1"/>
    </row>
    <row r="876" spans="1:35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1"/>
    </row>
    <row r="877" spans="1:35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1"/>
    </row>
    <row r="878" spans="1:35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1"/>
    </row>
    <row r="879" spans="1:35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1"/>
    </row>
    <row r="880" spans="1:35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1"/>
    </row>
    <row r="881" spans="1:35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1"/>
    </row>
    <row r="882" spans="1:35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1"/>
    </row>
    <row r="883" spans="1:35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1"/>
    </row>
    <row r="884" spans="1:35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1"/>
    </row>
    <row r="885" spans="1:35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1"/>
    </row>
    <row r="886" spans="1:35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1"/>
    </row>
    <row r="887" spans="1:35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1"/>
    </row>
    <row r="888" spans="1:35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1"/>
    </row>
    <row r="889" spans="1:35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1"/>
    </row>
    <row r="890" spans="1:35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1"/>
    </row>
    <row r="891" spans="1:35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1"/>
    </row>
    <row r="892" spans="1:35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1"/>
    </row>
    <row r="893" spans="1:35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1"/>
    </row>
    <row r="894" spans="1:35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1"/>
    </row>
    <row r="895" spans="1:35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1"/>
    </row>
    <row r="896" spans="1:35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1"/>
    </row>
    <row r="897" spans="1:35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1"/>
    </row>
    <row r="898" spans="1:35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1"/>
    </row>
    <row r="899" spans="1:35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1"/>
    </row>
    <row r="900" spans="1:35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1"/>
    </row>
    <row r="901" spans="1:35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1"/>
    </row>
    <row r="902" spans="1:35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1"/>
    </row>
    <row r="903" spans="1:35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1"/>
    </row>
    <row r="904" spans="1:35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1"/>
    </row>
    <row r="905" spans="1:35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1"/>
    </row>
    <row r="906" spans="1:35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1"/>
    </row>
    <row r="907" spans="1:35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1"/>
    </row>
    <row r="908" spans="1:35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1"/>
    </row>
    <row r="909" spans="1:35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1"/>
    </row>
    <row r="910" spans="1:35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1"/>
    </row>
    <row r="911" spans="1:35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1"/>
    </row>
    <row r="912" spans="1:35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1"/>
    </row>
    <row r="913" spans="1:35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1"/>
    </row>
    <row r="914" spans="1:35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1"/>
    </row>
    <row r="915" spans="1:35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1"/>
    </row>
    <row r="916" spans="1:35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1"/>
    </row>
    <row r="917" spans="1:35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1"/>
    </row>
    <row r="918" spans="1:35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1"/>
    </row>
    <row r="919" spans="1:35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1"/>
    </row>
    <row r="920" spans="1:35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1"/>
    </row>
    <row r="921" spans="1:35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1"/>
    </row>
    <row r="922" spans="1:35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1"/>
    </row>
    <row r="923" spans="1:35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1"/>
    </row>
    <row r="924" spans="1:35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1"/>
    </row>
    <row r="925" spans="1:35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1"/>
    </row>
    <row r="926" spans="1:35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1"/>
    </row>
    <row r="927" spans="1:35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1"/>
    </row>
    <row r="928" spans="1:35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1"/>
    </row>
    <row r="929" spans="1:35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1"/>
    </row>
    <row r="930" spans="1:35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1"/>
    </row>
    <row r="931" spans="1:35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1"/>
    </row>
    <row r="932" spans="1:35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1"/>
    </row>
    <row r="933" spans="1:35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1"/>
    </row>
    <row r="934" spans="1:35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1"/>
    </row>
    <row r="935" spans="1:35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1"/>
    </row>
    <row r="936" spans="1:35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1"/>
    </row>
    <row r="937" spans="1:35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1"/>
    </row>
    <row r="938" spans="1:35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1"/>
    </row>
    <row r="939" spans="1:35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1"/>
    </row>
    <row r="940" spans="1:35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1"/>
    </row>
    <row r="941" spans="1:35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1"/>
    </row>
    <row r="942" spans="1:35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1"/>
    </row>
    <row r="943" spans="1:35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1"/>
    </row>
    <row r="944" spans="1:35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1"/>
    </row>
    <row r="945" spans="1:35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1"/>
    </row>
    <row r="946" spans="1:35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1"/>
    </row>
    <row r="947" spans="1:35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1"/>
    </row>
    <row r="948" spans="1:35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1"/>
    </row>
    <row r="949" spans="1:35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1"/>
    </row>
    <row r="950" spans="1:35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1"/>
    </row>
    <row r="951" spans="1:35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1"/>
    </row>
    <row r="952" spans="1:35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1"/>
    </row>
    <row r="953" spans="1:35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1"/>
    </row>
    <row r="954" spans="1:35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1"/>
    </row>
    <row r="955" spans="1:35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1"/>
    </row>
    <row r="956" spans="1:35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1"/>
    </row>
    <row r="957" spans="1:35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1"/>
    </row>
    <row r="958" spans="1:35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1"/>
    </row>
    <row r="959" spans="1:35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1"/>
    </row>
    <row r="960" spans="1:35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1"/>
    </row>
    <row r="961" spans="1:35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1"/>
    </row>
    <row r="962" spans="1:35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1"/>
    </row>
    <row r="963" spans="1:35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1"/>
    </row>
    <row r="964" spans="1:35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1"/>
    </row>
    <row r="965" spans="1:35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1"/>
    </row>
    <row r="966" spans="1:35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1"/>
    </row>
    <row r="967" spans="1:35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1"/>
    </row>
    <row r="968" spans="1:35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1"/>
    </row>
    <row r="969" spans="1:35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1"/>
    </row>
    <row r="970" spans="1:35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1"/>
    </row>
    <row r="971" spans="1:35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1"/>
    </row>
    <row r="972" spans="1:35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1"/>
    </row>
    <row r="973" spans="1:35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1"/>
    </row>
    <row r="974" spans="1:35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1"/>
    </row>
    <row r="975" spans="1:35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1"/>
    </row>
    <row r="976" spans="1:35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1"/>
    </row>
    <row r="977" spans="1:35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1"/>
    </row>
    <row r="978" spans="1:35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1"/>
    </row>
    <row r="979" spans="1:35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1"/>
    </row>
    <row r="980" spans="1:35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1"/>
    </row>
    <row r="981" spans="1:35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1"/>
    </row>
    <row r="982" spans="1:35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1"/>
    </row>
    <row r="983" spans="1:35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1"/>
    </row>
    <row r="984" spans="1:35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1"/>
    </row>
    <row r="985" spans="1:35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1"/>
    </row>
    <row r="986" spans="1:35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1"/>
    </row>
    <row r="987" spans="1:35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1"/>
    </row>
    <row r="988" spans="1:35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1"/>
    </row>
    <row r="989" spans="1:35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1"/>
    </row>
    <row r="990" spans="1:35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1"/>
    </row>
    <row r="991" spans="1:35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1"/>
    </row>
    <row r="992" spans="1:35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1"/>
    </row>
    <row r="993" spans="1:35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1"/>
    </row>
    <row r="994" spans="1:35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1"/>
    </row>
    <row r="995" spans="1:35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1"/>
    </row>
    <row r="996" spans="1:35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1"/>
    </row>
    <row r="997" spans="1:35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1"/>
    </row>
    <row r="998" spans="1:35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1"/>
    </row>
    <row r="999" spans="1:35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1"/>
    </row>
    <row r="1000" spans="1:35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1"/>
    </row>
    <row r="1001" spans="1:35" x14ac:dyDescent="0.3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</row>
  </sheetData>
  <mergeCells count="4">
    <mergeCell ref="A30:E30"/>
    <mergeCell ref="A33:B33"/>
    <mergeCell ref="C33:S33"/>
    <mergeCell ref="A57:E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1A52-063B-4A13-ABF7-6CF843120F48}">
  <sheetPr>
    <tabColor rgb="FF92D050"/>
  </sheetPr>
  <dimension ref="A1:Q34"/>
  <sheetViews>
    <sheetView topLeftCell="E16" workbookViewId="0">
      <selection activeCell="D7" sqref="D7"/>
    </sheetView>
  </sheetViews>
  <sheetFormatPr defaultRowHeight="14.4" x14ac:dyDescent="0.3"/>
  <cols>
    <col min="1" max="1" width="5.5546875" bestFit="1" customWidth="1"/>
    <col min="2" max="2" width="13.88671875" customWidth="1"/>
    <col min="3" max="3" width="9.5546875" bestFit="1" customWidth="1"/>
    <col min="4" max="4" width="26.109375" bestFit="1" customWidth="1"/>
    <col min="5" max="5" width="18.109375" bestFit="1" customWidth="1"/>
    <col min="6" max="6" width="10.6640625" bestFit="1" customWidth="1"/>
    <col min="10" max="10" width="10.6640625" bestFit="1" customWidth="1"/>
    <col min="12" max="12" width="11.88671875" bestFit="1" customWidth="1"/>
    <col min="13" max="14" width="8.88671875" bestFit="1" customWidth="1"/>
    <col min="15" max="15" width="6.88671875" bestFit="1" customWidth="1"/>
    <col min="16" max="16" width="14" bestFit="1" customWidth="1"/>
    <col min="17" max="17" width="12.88671875" bestFit="1" customWidth="1"/>
  </cols>
  <sheetData>
    <row r="1" spans="1:17" x14ac:dyDescent="0.3">
      <c r="A1" s="153" t="s">
        <v>173</v>
      </c>
      <c r="B1" s="154"/>
      <c r="C1" s="155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7"/>
    </row>
    <row r="2" spans="1:17" x14ac:dyDescent="0.3">
      <c r="A2" s="43" t="s">
        <v>174</v>
      </c>
      <c r="B2" s="44" t="s">
        <v>26</v>
      </c>
      <c r="C2" s="44" t="s">
        <v>27</v>
      </c>
      <c r="D2" s="44" t="s">
        <v>28</v>
      </c>
      <c r="E2" s="44" t="s">
        <v>29</v>
      </c>
      <c r="F2" s="44" t="s">
        <v>110</v>
      </c>
      <c r="G2" s="71"/>
      <c r="H2" s="71"/>
      <c r="I2" s="71"/>
      <c r="J2" s="44" t="s">
        <v>127</v>
      </c>
      <c r="K2" s="71"/>
      <c r="L2" s="44" t="s">
        <v>175</v>
      </c>
      <c r="M2" s="44" t="s">
        <v>36</v>
      </c>
      <c r="N2" s="44" t="s">
        <v>37</v>
      </c>
      <c r="O2" s="44" t="s">
        <v>38</v>
      </c>
      <c r="P2" s="44" t="s">
        <v>176</v>
      </c>
      <c r="Q2" s="44" t="s">
        <v>177</v>
      </c>
    </row>
    <row r="3" spans="1:17" x14ac:dyDescent="0.3">
      <c r="A3" s="32">
        <v>1</v>
      </c>
      <c r="B3" s="33" t="s">
        <v>201</v>
      </c>
      <c r="C3" s="34">
        <v>45901</v>
      </c>
      <c r="D3" s="33" t="s">
        <v>202</v>
      </c>
      <c r="E3" s="33" t="s">
        <v>203</v>
      </c>
      <c r="F3" s="33">
        <v>96100000</v>
      </c>
      <c r="G3" s="33"/>
      <c r="H3" s="33"/>
      <c r="I3" s="33"/>
      <c r="J3" s="33"/>
      <c r="K3" s="33"/>
      <c r="L3" s="33">
        <v>12000</v>
      </c>
      <c r="M3" s="33">
        <v>0</v>
      </c>
      <c r="N3" s="33">
        <v>0</v>
      </c>
      <c r="O3" s="33">
        <v>2160</v>
      </c>
      <c r="P3" s="33">
        <v>0</v>
      </c>
      <c r="Q3" s="38">
        <v>14160</v>
      </c>
    </row>
    <row r="4" spans="1:17" x14ac:dyDescent="0.3">
      <c r="A4" s="32">
        <v>2</v>
      </c>
      <c r="B4" s="33" t="s">
        <v>204</v>
      </c>
      <c r="C4" s="34">
        <v>45901</v>
      </c>
      <c r="D4" s="33" t="s">
        <v>205</v>
      </c>
      <c r="E4" s="33" t="s">
        <v>206</v>
      </c>
      <c r="F4" s="33">
        <v>8507</v>
      </c>
      <c r="G4" s="33"/>
      <c r="H4" s="33"/>
      <c r="I4" s="33"/>
      <c r="J4" s="33"/>
      <c r="K4" s="33"/>
      <c r="L4" s="33">
        <v>38250</v>
      </c>
      <c r="M4" s="33">
        <v>5355</v>
      </c>
      <c r="N4" s="33">
        <v>5355</v>
      </c>
      <c r="O4" s="33">
        <v>0</v>
      </c>
      <c r="P4" s="33">
        <v>0</v>
      </c>
      <c r="Q4" s="38">
        <v>48960</v>
      </c>
    </row>
    <row r="5" spans="1:17" x14ac:dyDescent="0.3">
      <c r="A5" s="32"/>
      <c r="B5" s="33">
        <v>9412</v>
      </c>
      <c r="C5" s="34">
        <v>45902</v>
      </c>
      <c r="D5" s="33" t="s">
        <v>207</v>
      </c>
      <c r="E5" s="33" t="s">
        <v>208</v>
      </c>
      <c r="F5" s="33"/>
      <c r="G5" s="33"/>
      <c r="H5" s="33"/>
      <c r="I5" s="33"/>
      <c r="J5" s="33"/>
      <c r="K5" s="33"/>
      <c r="L5" s="33">
        <v>4125</v>
      </c>
      <c r="M5" s="33">
        <v>0</v>
      </c>
      <c r="N5" s="33">
        <v>0</v>
      </c>
      <c r="O5" s="33">
        <v>206.25</v>
      </c>
      <c r="P5" s="33">
        <v>0</v>
      </c>
      <c r="Q5" s="38">
        <v>4331.25</v>
      </c>
    </row>
    <row r="6" spans="1:17" x14ac:dyDescent="0.3">
      <c r="A6" s="32">
        <v>3</v>
      </c>
      <c r="B6" s="33" t="s">
        <v>209</v>
      </c>
      <c r="C6" s="34">
        <v>45906</v>
      </c>
      <c r="D6" s="33" t="s">
        <v>210</v>
      </c>
      <c r="E6" s="33" t="s">
        <v>211</v>
      </c>
      <c r="F6" s="33">
        <v>84439959</v>
      </c>
      <c r="G6" s="33"/>
      <c r="H6" s="33"/>
      <c r="I6" s="33"/>
      <c r="J6" s="33"/>
      <c r="K6" s="33"/>
      <c r="L6" s="33">
        <v>10700</v>
      </c>
      <c r="M6" s="33">
        <v>963</v>
      </c>
      <c r="N6" s="33">
        <v>963</v>
      </c>
      <c r="O6" s="33">
        <v>0</v>
      </c>
      <c r="P6" s="33">
        <v>0</v>
      </c>
      <c r="Q6" s="38">
        <v>12626</v>
      </c>
    </row>
    <row r="7" spans="1:17" x14ac:dyDescent="0.3">
      <c r="A7" s="32">
        <v>4</v>
      </c>
      <c r="B7" s="33" t="s">
        <v>212</v>
      </c>
      <c r="C7" s="34">
        <v>45909</v>
      </c>
      <c r="D7" s="33" t="s">
        <v>205</v>
      </c>
      <c r="E7" s="33" t="s">
        <v>206</v>
      </c>
      <c r="F7" s="33"/>
      <c r="G7" s="33"/>
      <c r="H7" s="33"/>
      <c r="I7" s="33"/>
      <c r="J7" s="33">
        <v>995461</v>
      </c>
      <c r="K7" s="33"/>
      <c r="L7" s="33">
        <v>247500</v>
      </c>
      <c r="M7" s="33">
        <v>22275</v>
      </c>
      <c r="N7" s="33">
        <v>22275</v>
      </c>
      <c r="O7" s="33">
        <v>0</v>
      </c>
      <c r="P7" s="33">
        <v>0</v>
      </c>
      <c r="Q7" s="38">
        <v>292050</v>
      </c>
    </row>
    <row r="8" spans="1:17" x14ac:dyDescent="0.3">
      <c r="A8" s="32">
        <v>5</v>
      </c>
      <c r="B8" s="33" t="s">
        <v>213</v>
      </c>
      <c r="C8" s="34">
        <v>45910</v>
      </c>
      <c r="D8" s="33" t="s">
        <v>202</v>
      </c>
      <c r="E8" s="33" t="s">
        <v>203</v>
      </c>
      <c r="F8" s="33">
        <v>96100000</v>
      </c>
      <c r="G8" s="33"/>
      <c r="H8" s="33"/>
      <c r="I8" s="33"/>
      <c r="J8" s="33"/>
      <c r="K8" s="33"/>
      <c r="L8" s="33">
        <v>6720</v>
      </c>
      <c r="M8" s="33">
        <v>0</v>
      </c>
      <c r="N8" s="33">
        <v>0</v>
      </c>
      <c r="O8" s="33">
        <v>1209.5999999999999</v>
      </c>
      <c r="P8" s="33">
        <v>0</v>
      </c>
      <c r="Q8" s="38">
        <v>7929.6</v>
      </c>
    </row>
    <row r="9" spans="1:17" x14ac:dyDescent="0.3">
      <c r="A9" s="32"/>
      <c r="B9" s="33"/>
      <c r="C9" s="33"/>
      <c r="D9" s="33"/>
      <c r="E9" s="33"/>
      <c r="F9" s="33">
        <v>76042100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6"/>
    </row>
    <row r="10" spans="1:17" x14ac:dyDescent="0.3">
      <c r="A10" s="32">
        <v>6</v>
      </c>
      <c r="B10" s="33" t="s">
        <v>214</v>
      </c>
      <c r="C10" s="34">
        <v>45911</v>
      </c>
      <c r="D10" s="33" t="s">
        <v>179</v>
      </c>
      <c r="E10" s="33" t="s">
        <v>180</v>
      </c>
      <c r="F10" s="33">
        <v>44101190</v>
      </c>
      <c r="G10" s="33"/>
      <c r="H10" s="33"/>
      <c r="I10" s="33"/>
      <c r="J10" s="33"/>
      <c r="K10" s="33"/>
      <c r="L10" s="33">
        <v>10930</v>
      </c>
      <c r="M10" s="33">
        <v>983.7</v>
      </c>
      <c r="N10" s="33">
        <v>983.7</v>
      </c>
      <c r="O10" s="33">
        <v>0</v>
      </c>
      <c r="P10" s="33">
        <v>0</v>
      </c>
      <c r="Q10" s="38">
        <v>12897.4</v>
      </c>
    </row>
    <row r="11" spans="1:17" x14ac:dyDescent="0.3">
      <c r="A11" s="32"/>
      <c r="B11" s="33"/>
      <c r="C11" s="33"/>
      <c r="D11" s="33"/>
      <c r="E11" s="33"/>
      <c r="F11" s="33">
        <v>44123190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6"/>
    </row>
    <row r="12" spans="1:17" x14ac:dyDescent="0.3">
      <c r="A12" s="32"/>
      <c r="B12" s="33"/>
      <c r="C12" s="33"/>
      <c r="D12" s="33"/>
      <c r="E12" s="33"/>
      <c r="F12" s="33">
        <v>48239030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17" x14ac:dyDescent="0.3">
      <c r="A13" s="32">
        <v>7</v>
      </c>
      <c r="B13" s="33" t="s">
        <v>214</v>
      </c>
      <c r="C13" s="34">
        <v>45911</v>
      </c>
      <c r="D13" s="33" t="s">
        <v>215</v>
      </c>
      <c r="E13" s="33" t="s">
        <v>180</v>
      </c>
      <c r="F13" s="33"/>
      <c r="G13" s="33"/>
      <c r="H13" s="33"/>
      <c r="I13" s="33"/>
      <c r="J13" s="33"/>
      <c r="K13" s="33"/>
      <c r="L13" s="33">
        <v>10930</v>
      </c>
      <c r="M13" s="33">
        <v>983.7</v>
      </c>
      <c r="N13" s="33">
        <v>983.7</v>
      </c>
      <c r="O13" s="33">
        <v>0</v>
      </c>
      <c r="P13" s="33">
        <v>0</v>
      </c>
      <c r="Q13" s="38">
        <v>1967.4</v>
      </c>
    </row>
    <row r="14" spans="1:17" x14ac:dyDescent="0.3">
      <c r="A14" s="32">
        <v>8</v>
      </c>
      <c r="B14" s="33" t="s">
        <v>216</v>
      </c>
      <c r="C14" s="34">
        <v>45913</v>
      </c>
      <c r="D14" s="33" t="s">
        <v>202</v>
      </c>
      <c r="E14" s="33" t="s">
        <v>203</v>
      </c>
      <c r="F14" s="33">
        <v>96100000</v>
      </c>
      <c r="G14" s="33"/>
      <c r="H14" s="33"/>
      <c r="I14" s="33"/>
      <c r="J14" s="33"/>
      <c r="K14" s="33"/>
      <c r="L14" s="33">
        <v>16800</v>
      </c>
      <c r="M14" s="33">
        <v>0</v>
      </c>
      <c r="N14" s="33">
        <v>0</v>
      </c>
      <c r="O14" s="33">
        <v>3024</v>
      </c>
      <c r="P14" s="33">
        <v>0</v>
      </c>
      <c r="Q14" s="38">
        <v>3024</v>
      </c>
    </row>
    <row r="15" spans="1:17" x14ac:dyDescent="0.3">
      <c r="A15" s="32"/>
      <c r="B15" s="33"/>
      <c r="C15" s="33"/>
      <c r="D15" s="33"/>
      <c r="E15" s="33"/>
      <c r="F15" s="33">
        <v>76042100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</row>
    <row r="16" spans="1:17" x14ac:dyDescent="0.3">
      <c r="A16" s="32">
        <v>9</v>
      </c>
      <c r="B16" s="33">
        <v>10852</v>
      </c>
      <c r="C16" s="34">
        <v>45923</v>
      </c>
      <c r="D16" s="33" t="s">
        <v>217</v>
      </c>
      <c r="E16" s="33" t="s">
        <v>218</v>
      </c>
      <c r="F16" s="33">
        <v>320910</v>
      </c>
      <c r="G16" s="33"/>
      <c r="H16" s="33"/>
      <c r="I16" s="33"/>
      <c r="J16" s="33"/>
      <c r="K16" s="33"/>
      <c r="L16" s="33">
        <v>6881.32</v>
      </c>
      <c r="M16" s="33">
        <v>619.31880000000001</v>
      </c>
      <c r="N16" s="33">
        <v>619.31880000000001</v>
      </c>
      <c r="O16" s="33">
        <v>0</v>
      </c>
      <c r="P16" s="33">
        <v>0</v>
      </c>
      <c r="Q16" s="38">
        <v>1238.6400000000001</v>
      </c>
    </row>
    <row r="17" spans="1:17" x14ac:dyDescent="0.3">
      <c r="A17" s="32"/>
      <c r="B17" s="33"/>
      <c r="C17" s="33"/>
      <c r="D17" s="33"/>
      <c r="E17" s="33"/>
      <c r="F17" s="33">
        <v>960340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pans="1:17" x14ac:dyDescent="0.3">
      <c r="A18" s="32"/>
      <c r="B18" s="33"/>
      <c r="C18" s="33"/>
      <c r="D18" s="33"/>
      <c r="E18" s="33"/>
      <c r="F18" s="33">
        <v>96034010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  <row r="19" spans="1:17" x14ac:dyDescent="0.3">
      <c r="A19" s="32"/>
      <c r="B19" s="33"/>
      <c r="C19" s="33"/>
      <c r="D19" s="33"/>
      <c r="E19" s="33"/>
      <c r="F19" s="33">
        <v>32141000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spans="1:17" x14ac:dyDescent="0.3">
      <c r="A20" s="32"/>
      <c r="B20" s="33"/>
      <c r="C20" s="33"/>
      <c r="D20" s="33"/>
      <c r="E20" s="33"/>
      <c r="F20" s="33">
        <v>32131000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x14ac:dyDescent="0.3">
      <c r="A21" s="32"/>
      <c r="B21" s="33"/>
      <c r="C21" s="33"/>
      <c r="D21" s="33"/>
      <c r="E21" s="33"/>
      <c r="F21" s="33">
        <v>52082190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spans="1:17" x14ac:dyDescent="0.3">
      <c r="A22" s="32"/>
      <c r="B22" s="33"/>
      <c r="C22" s="33"/>
      <c r="D22" s="33"/>
      <c r="E22" s="33"/>
      <c r="F22" s="33">
        <v>32139000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1:17" x14ac:dyDescent="0.3">
      <c r="A23" s="32">
        <v>10</v>
      </c>
      <c r="B23" s="33" t="s">
        <v>219</v>
      </c>
      <c r="C23" s="34">
        <v>45924</v>
      </c>
      <c r="D23" s="33" t="s">
        <v>220</v>
      </c>
      <c r="E23" s="33" t="s">
        <v>221</v>
      </c>
      <c r="F23" s="33">
        <v>85171400</v>
      </c>
      <c r="G23" s="33"/>
      <c r="H23" s="33"/>
      <c r="I23" s="33"/>
      <c r="J23" s="33"/>
      <c r="K23" s="33"/>
      <c r="L23" s="33">
        <v>1101.69</v>
      </c>
      <c r="M23" s="33">
        <v>99.152100000000004</v>
      </c>
      <c r="N23" s="33">
        <v>99.152100000000004</v>
      </c>
      <c r="O23" s="33">
        <v>0</v>
      </c>
      <c r="P23" s="33">
        <v>0</v>
      </c>
      <c r="Q23" s="38">
        <v>1300</v>
      </c>
    </row>
    <row r="24" spans="1:17" x14ac:dyDescent="0.3">
      <c r="A24" s="32">
        <v>11</v>
      </c>
      <c r="B24" s="33">
        <v>2119</v>
      </c>
      <c r="C24" s="34">
        <v>45928</v>
      </c>
      <c r="D24" s="33" t="s">
        <v>113</v>
      </c>
      <c r="E24" s="33" t="s">
        <v>114</v>
      </c>
      <c r="F24" s="33">
        <v>44111300</v>
      </c>
      <c r="G24" s="33"/>
      <c r="H24" s="33"/>
      <c r="I24" s="33"/>
      <c r="J24" s="33"/>
      <c r="K24" s="33"/>
      <c r="L24" s="33">
        <v>86500</v>
      </c>
      <c r="M24" s="33">
        <v>7785</v>
      </c>
      <c r="N24" s="33">
        <v>7785</v>
      </c>
      <c r="O24" s="33">
        <v>0</v>
      </c>
      <c r="P24" s="33">
        <v>0</v>
      </c>
      <c r="Q24" s="38">
        <v>102070</v>
      </c>
    </row>
    <row r="25" spans="1:17" x14ac:dyDescent="0.3">
      <c r="A25" s="32">
        <v>12</v>
      </c>
      <c r="B25" s="33" t="s">
        <v>222</v>
      </c>
      <c r="C25" s="34">
        <v>45929</v>
      </c>
      <c r="D25" s="33" t="s">
        <v>205</v>
      </c>
      <c r="E25" s="33" t="s">
        <v>206</v>
      </c>
      <c r="F25" s="33">
        <v>8467</v>
      </c>
      <c r="G25" s="33"/>
      <c r="H25" s="33"/>
      <c r="I25" s="33"/>
      <c r="J25" s="33"/>
      <c r="K25" s="33"/>
      <c r="L25" s="33">
        <v>41250</v>
      </c>
      <c r="M25" s="33">
        <v>3712.5</v>
      </c>
      <c r="N25" s="33">
        <v>3712.5</v>
      </c>
      <c r="O25" s="33">
        <v>0</v>
      </c>
      <c r="P25" s="33">
        <v>0</v>
      </c>
      <c r="Q25" s="38">
        <v>48675</v>
      </c>
    </row>
    <row r="26" spans="1:17" x14ac:dyDescent="0.3">
      <c r="A26" s="32">
        <v>13</v>
      </c>
      <c r="B26" s="33" t="s">
        <v>223</v>
      </c>
      <c r="C26" s="34">
        <v>45929</v>
      </c>
      <c r="D26" s="33" t="s">
        <v>205</v>
      </c>
      <c r="E26" s="33" t="s">
        <v>206</v>
      </c>
      <c r="F26" s="33">
        <v>8507</v>
      </c>
      <c r="G26" s="33"/>
      <c r="H26" s="33"/>
      <c r="I26" s="33"/>
      <c r="J26" s="33"/>
      <c r="K26" s="33"/>
      <c r="L26" s="33">
        <v>40000</v>
      </c>
      <c r="M26" s="33">
        <v>3600</v>
      </c>
      <c r="N26" s="33">
        <v>3600</v>
      </c>
      <c r="O26" s="33">
        <v>0</v>
      </c>
      <c r="P26" s="33">
        <v>0</v>
      </c>
      <c r="Q26" s="38">
        <v>47200</v>
      </c>
    </row>
    <row r="27" spans="1:17" x14ac:dyDescent="0.3">
      <c r="A27" s="32">
        <v>14</v>
      </c>
      <c r="B27" s="33" t="s">
        <v>224</v>
      </c>
      <c r="C27" s="34">
        <v>45929</v>
      </c>
      <c r="D27" s="33" t="s">
        <v>205</v>
      </c>
      <c r="E27" s="33" t="s">
        <v>206</v>
      </c>
      <c r="F27" s="33">
        <v>8507</v>
      </c>
      <c r="G27" s="33"/>
      <c r="H27" s="33"/>
      <c r="I27" s="33"/>
      <c r="J27" s="33"/>
      <c r="K27" s="33"/>
      <c r="L27" s="33">
        <v>40500</v>
      </c>
      <c r="M27" s="33">
        <v>3645</v>
      </c>
      <c r="N27" s="33">
        <v>3645</v>
      </c>
      <c r="O27" s="33">
        <v>0</v>
      </c>
      <c r="P27" s="33">
        <v>0</v>
      </c>
      <c r="Q27" s="38">
        <v>47790</v>
      </c>
    </row>
    <row r="28" spans="1:17" x14ac:dyDescent="0.3">
      <c r="A28" s="32">
        <v>15</v>
      </c>
      <c r="B28" s="33" t="s">
        <v>225</v>
      </c>
      <c r="C28" s="34">
        <v>45929</v>
      </c>
      <c r="D28" s="33" t="s">
        <v>205</v>
      </c>
      <c r="E28" s="33" t="s">
        <v>206</v>
      </c>
      <c r="F28" s="33">
        <v>8467</v>
      </c>
      <c r="G28" s="33"/>
      <c r="H28" s="33"/>
      <c r="I28" s="33"/>
      <c r="J28" s="33"/>
      <c r="K28" s="33"/>
      <c r="L28" s="33">
        <v>36900</v>
      </c>
      <c r="M28" s="33">
        <v>3321</v>
      </c>
      <c r="N28" s="33">
        <v>3321</v>
      </c>
      <c r="O28" s="33">
        <v>0</v>
      </c>
      <c r="P28" s="33">
        <v>0</v>
      </c>
      <c r="Q28" s="38">
        <v>43542</v>
      </c>
    </row>
    <row r="29" spans="1:17" x14ac:dyDescent="0.3">
      <c r="A29" s="32">
        <v>16</v>
      </c>
      <c r="B29" s="33" t="s">
        <v>226</v>
      </c>
      <c r="C29" s="34">
        <v>45929</v>
      </c>
      <c r="D29" s="33" t="s">
        <v>205</v>
      </c>
      <c r="E29" s="33" t="s">
        <v>206</v>
      </c>
      <c r="F29" s="33">
        <v>8507</v>
      </c>
      <c r="G29" s="33"/>
      <c r="H29" s="33"/>
      <c r="I29" s="33"/>
      <c r="J29" s="33"/>
      <c r="K29" s="33"/>
      <c r="L29" s="33">
        <v>36200</v>
      </c>
      <c r="M29" s="33">
        <v>3258</v>
      </c>
      <c r="N29" s="33">
        <v>3258</v>
      </c>
      <c r="O29" s="33">
        <v>0</v>
      </c>
      <c r="P29" s="33">
        <v>0</v>
      </c>
      <c r="Q29" s="38">
        <v>42716</v>
      </c>
    </row>
    <row r="30" spans="1:17" x14ac:dyDescent="0.3">
      <c r="A30" s="32">
        <v>17</v>
      </c>
      <c r="B30" s="33" t="s">
        <v>227</v>
      </c>
      <c r="C30" s="34">
        <v>45930</v>
      </c>
      <c r="D30" s="33" t="s">
        <v>205</v>
      </c>
      <c r="E30" s="33" t="s">
        <v>206</v>
      </c>
      <c r="F30" s="33">
        <v>6805</v>
      </c>
      <c r="G30" s="33"/>
      <c r="H30" s="33"/>
      <c r="I30" s="33"/>
      <c r="J30" s="33"/>
      <c r="K30" s="33"/>
      <c r="L30" s="33">
        <v>18000</v>
      </c>
      <c r="M30" s="33">
        <v>1620</v>
      </c>
      <c r="N30" s="33">
        <v>1620</v>
      </c>
      <c r="O30" s="33">
        <v>0</v>
      </c>
      <c r="P30" s="33">
        <v>0</v>
      </c>
      <c r="Q30" s="38">
        <v>21240</v>
      </c>
    </row>
    <row r="31" spans="1:17" x14ac:dyDescent="0.3">
      <c r="A31" s="32">
        <v>18</v>
      </c>
      <c r="B31" s="33" t="s">
        <v>228</v>
      </c>
      <c r="C31" s="34">
        <v>45930</v>
      </c>
      <c r="D31" s="33" t="s">
        <v>205</v>
      </c>
      <c r="E31" s="33" t="s">
        <v>206</v>
      </c>
      <c r="F31" s="33">
        <v>6805</v>
      </c>
      <c r="G31" s="33"/>
      <c r="H31" s="33"/>
      <c r="I31" s="33"/>
      <c r="J31" s="33"/>
      <c r="K31" s="33"/>
      <c r="L31" s="33">
        <v>28250</v>
      </c>
      <c r="M31" s="33">
        <v>2542.5</v>
      </c>
      <c r="N31" s="33">
        <v>2542.5</v>
      </c>
      <c r="O31" s="33">
        <v>0</v>
      </c>
      <c r="P31" s="33">
        <v>0</v>
      </c>
      <c r="Q31" s="38">
        <v>33335</v>
      </c>
    </row>
    <row r="32" spans="1:17" x14ac:dyDescent="0.3">
      <c r="A32" s="32"/>
      <c r="B32" s="33"/>
      <c r="C32" s="33"/>
      <c r="D32" s="33"/>
      <c r="E32" s="33"/>
      <c r="F32" s="33">
        <v>8467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6"/>
    </row>
    <row r="33" spans="1:17" x14ac:dyDescent="0.3">
      <c r="A33" s="32">
        <v>19</v>
      </c>
      <c r="B33" s="33">
        <v>45</v>
      </c>
      <c r="C33" s="34">
        <v>45565</v>
      </c>
      <c r="D33" s="33" t="s">
        <v>229</v>
      </c>
      <c r="E33" s="33" t="s">
        <v>230</v>
      </c>
      <c r="F33" s="33">
        <v>9405</v>
      </c>
      <c r="G33" s="33"/>
      <c r="H33" s="33"/>
      <c r="I33" s="33"/>
      <c r="J33" s="33"/>
      <c r="K33" s="33"/>
      <c r="L33" s="33">
        <v>892500</v>
      </c>
      <c r="M33" s="33">
        <v>80325</v>
      </c>
      <c r="N33" s="33">
        <v>80325</v>
      </c>
      <c r="O33" s="33">
        <v>0</v>
      </c>
      <c r="P33" s="33">
        <v>0</v>
      </c>
      <c r="Q33" s="38">
        <v>1053150</v>
      </c>
    </row>
    <row r="34" spans="1:17" x14ac:dyDescent="0.3">
      <c r="A34" s="32">
        <v>20</v>
      </c>
      <c r="B34" s="33" t="s">
        <v>231</v>
      </c>
      <c r="C34" s="34">
        <v>45930</v>
      </c>
      <c r="D34" s="33" t="s">
        <v>205</v>
      </c>
      <c r="E34" s="33" t="s">
        <v>206</v>
      </c>
      <c r="F34" s="33">
        <v>4415</v>
      </c>
      <c r="G34" s="33"/>
      <c r="H34" s="33"/>
      <c r="I34" s="33"/>
      <c r="J34" s="33"/>
      <c r="K34" s="33"/>
      <c r="L34" s="33">
        <v>27000</v>
      </c>
      <c r="M34" s="33">
        <v>2430</v>
      </c>
      <c r="N34" s="33">
        <v>2430</v>
      </c>
      <c r="O34" s="33">
        <v>0</v>
      </c>
      <c r="P34" s="33">
        <v>0</v>
      </c>
      <c r="Q34" s="38">
        <v>31860</v>
      </c>
    </row>
  </sheetData>
  <mergeCells count="2">
    <mergeCell ref="A1:B1"/>
    <mergeCell ref="C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A726-E533-4145-A771-B6C0BE997812}">
  <sheetPr>
    <tabColor rgb="FF00B050"/>
  </sheetPr>
  <dimension ref="A1:AF1030"/>
  <sheetViews>
    <sheetView topLeftCell="A53" zoomScale="66" workbookViewId="0">
      <selection activeCell="A59" sqref="A59:Q73"/>
    </sheetView>
  </sheetViews>
  <sheetFormatPr defaultRowHeight="14.4" x14ac:dyDescent="0.3"/>
  <cols>
    <col min="1" max="1" width="5.5546875" bestFit="1" customWidth="1"/>
    <col min="2" max="2" width="12.6640625" bestFit="1" customWidth="1"/>
    <col min="3" max="3" width="9.5546875" bestFit="1" customWidth="1"/>
    <col min="4" max="4" width="47.88671875" bestFit="1" customWidth="1"/>
    <col min="5" max="5" width="18.5546875" bestFit="1" customWidth="1"/>
    <col min="6" max="6" width="10.6640625" bestFit="1" customWidth="1"/>
    <col min="7" max="7" width="7" bestFit="1" customWidth="1"/>
    <col min="8" max="8" width="4.88671875" bestFit="1" customWidth="1"/>
    <col min="9" max="9" width="6.88671875" bestFit="1" customWidth="1"/>
    <col min="10" max="10" width="10.6640625" bestFit="1" customWidth="1"/>
    <col min="11" max="11" width="4.6640625" bestFit="1" customWidth="1"/>
    <col min="12" max="12" width="11.88671875" bestFit="1" customWidth="1"/>
    <col min="13" max="15" width="10.88671875" bestFit="1" customWidth="1"/>
    <col min="16" max="16" width="15.6640625" bestFit="1" customWidth="1"/>
    <col min="17" max="17" width="14.21875" bestFit="1" customWidth="1"/>
  </cols>
  <sheetData>
    <row r="1" spans="1:32" x14ac:dyDescent="0.3">
      <c r="A1" s="72" t="s">
        <v>174</v>
      </c>
      <c r="B1" s="73" t="s">
        <v>26</v>
      </c>
      <c r="C1" s="73" t="s">
        <v>27</v>
      </c>
      <c r="D1" s="73" t="s">
        <v>28</v>
      </c>
      <c r="E1" s="73" t="s">
        <v>29</v>
      </c>
      <c r="F1" s="73" t="s">
        <v>110</v>
      </c>
      <c r="G1" s="73" t="s">
        <v>31</v>
      </c>
      <c r="H1" s="73" t="s">
        <v>232</v>
      </c>
      <c r="I1" s="73" t="s">
        <v>32</v>
      </c>
      <c r="J1" s="73" t="s">
        <v>127</v>
      </c>
      <c r="K1" s="73" t="s">
        <v>34</v>
      </c>
      <c r="L1" s="73" t="s">
        <v>128</v>
      </c>
      <c r="M1" s="73" t="s">
        <v>36</v>
      </c>
      <c r="N1" s="73" t="s">
        <v>37</v>
      </c>
      <c r="O1" s="73" t="s">
        <v>38</v>
      </c>
      <c r="P1" s="73" t="s">
        <v>129</v>
      </c>
      <c r="Q1" s="73" t="s">
        <v>130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</row>
    <row r="2" spans="1:32" x14ac:dyDescent="0.3">
      <c r="A2" s="60">
        <v>1</v>
      </c>
      <c r="B2" s="61" t="s">
        <v>233</v>
      </c>
      <c r="C2" s="62">
        <v>45870</v>
      </c>
      <c r="D2" s="63" t="s">
        <v>234</v>
      </c>
      <c r="E2" s="64" t="s">
        <v>235</v>
      </c>
      <c r="F2" s="75">
        <v>4852</v>
      </c>
      <c r="G2" s="75">
        <v>350</v>
      </c>
      <c r="H2" s="68"/>
      <c r="I2" s="68"/>
      <c r="J2" s="68"/>
      <c r="K2" s="68"/>
      <c r="L2" s="75">
        <v>7560</v>
      </c>
      <c r="M2" s="64">
        <v>0</v>
      </c>
      <c r="N2" s="64">
        <v>0</v>
      </c>
      <c r="O2" s="64">
        <v>1360.8</v>
      </c>
      <c r="P2" s="64">
        <v>0</v>
      </c>
      <c r="Q2" s="65">
        <v>8920.7999999999993</v>
      </c>
      <c r="R2" s="74"/>
      <c r="S2" s="74"/>
      <c r="T2" s="76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</row>
    <row r="3" spans="1:32" x14ac:dyDescent="0.3">
      <c r="A3" s="60">
        <v>2</v>
      </c>
      <c r="B3" s="61" t="s">
        <v>236</v>
      </c>
      <c r="C3" s="62">
        <v>45871</v>
      </c>
      <c r="D3" s="63" t="s">
        <v>135</v>
      </c>
      <c r="E3" s="64" t="s">
        <v>94</v>
      </c>
      <c r="F3" s="75">
        <v>4820</v>
      </c>
      <c r="G3" s="68"/>
      <c r="H3" s="75">
        <v>24</v>
      </c>
      <c r="I3" s="68"/>
      <c r="J3" s="68"/>
      <c r="K3" s="68"/>
      <c r="L3" s="75">
        <v>15826</v>
      </c>
      <c r="M3" s="64">
        <v>1424.34</v>
      </c>
      <c r="N3" s="64">
        <v>1424.34</v>
      </c>
      <c r="O3" s="64">
        <v>0</v>
      </c>
      <c r="P3" s="64">
        <v>0</v>
      </c>
      <c r="Q3" s="65">
        <v>18674.68</v>
      </c>
      <c r="R3" s="74"/>
      <c r="S3" s="74"/>
      <c r="T3" s="76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</row>
    <row r="4" spans="1:32" x14ac:dyDescent="0.3">
      <c r="A4" s="60">
        <v>3</v>
      </c>
      <c r="B4" s="61" t="s">
        <v>237</v>
      </c>
      <c r="C4" s="62">
        <v>45873</v>
      </c>
      <c r="D4" s="63" t="s">
        <v>45</v>
      </c>
      <c r="E4" s="64" t="s">
        <v>46</v>
      </c>
      <c r="F4" s="75">
        <v>4820</v>
      </c>
      <c r="G4" s="75">
        <v>14</v>
      </c>
      <c r="H4" s="68"/>
      <c r="I4" s="68"/>
      <c r="J4" s="68"/>
      <c r="K4" s="68"/>
      <c r="L4" s="75">
        <v>4704</v>
      </c>
      <c r="M4" s="64">
        <v>423.36</v>
      </c>
      <c r="N4" s="64">
        <v>423.36</v>
      </c>
      <c r="O4" s="64">
        <v>0</v>
      </c>
      <c r="P4" s="64">
        <v>0</v>
      </c>
      <c r="Q4" s="65">
        <v>5550.72</v>
      </c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</row>
    <row r="5" spans="1:32" x14ac:dyDescent="0.3">
      <c r="A5" s="60">
        <v>4</v>
      </c>
      <c r="B5" s="77" t="s">
        <v>238</v>
      </c>
      <c r="C5" s="62">
        <v>45874</v>
      </c>
      <c r="D5" s="63" t="s">
        <v>57</v>
      </c>
      <c r="E5" s="64" t="s">
        <v>58</v>
      </c>
      <c r="F5" s="75">
        <v>4820</v>
      </c>
      <c r="G5" s="75">
        <v>500</v>
      </c>
      <c r="H5" s="68"/>
      <c r="I5" s="68"/>
      <c r="J5" s="68"/>
      <c r="K5" s="68"/>
      <c r="L5" s="75">
        <v>40500</v>
      </c>
      <c r="M5" s="64">
        <v>3645</v>
      </c>
      <c r="N5" s="64">
        <v>3645</v>
      </c>
      <c r="O5" s="64">
        <v>0</v>
      </c>
      <c r="P5" s="64">
        <v>0</v>
      </c>
      <c r="Q5" s="65">
        <v>47790</v>
      </c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</row>
    <row r="6" spans="1:32" x14ac:dyDescent="0.3">
      <c r="A6" s="60">
        <v>5</v>
      </c>
      <c r="B6" s="77" t="s">
        <v>239</v>
      </c>
      <c r="C6" s="62">
        <v>45874</v>
      </c>
      <c r="D6" s="63" t="s">
        <v>57</v>
      </c>
      <c r="E6" s="64" t="s">
        <v>58</v>
      </c>
      <c r="F6" s="75">
        <v>4820</v>
      </c>
      <c r="G6" s="75">
        <v>3</v>
      </c>
      <c r="H6" s="68"/>
      <c r="I6" s="68"/>
      <c r="J6" s="68"/>
      <c r="K6" s="68"/>
      <c r="L6" s="75">
        <v>840</v>
      </c>
      <c r="M6" s="64">
        <v>75.599999999999994</v>
      </c>
      <c r="N6" s="64">
        <v>75.599999999999994</v>
      </c>
      <c r="O6" s="64">
        <v>0</v>
      </c>
      <c r="P6" s="64">
        <v>0</v>
      </c>
      <c r="Q6" s="75">
        <v>991.2</v>
      </c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</row>
    <row r="7" spans="1:32" x14ac:dyDescent="0.3">
      <c r="A7" s="60">
        <v>6</v>
      </c>
      <c r="B7" s="77" t="s">
        <v>240</v>
      </c>
      <c r="C7" s="62">
        <v>45874</v>
      </c>
      <c r="D7" s="63" t="s">
        <v>57</v>
      </c>
      <c r="E7" s="64" t="s">
        <v>58</v>
      </c>
      <c r="F7" s="75">
        <v>4820</v>
      </c>
      <c r="G7" s="75">
        <v>320</v>
      </c>
      <c r="H7" s="68"/>
      <c r="I7" s="68"/>
      <c r="J7" s="68"/>
      <c r="K7" s="68"/>
      <c r="L7" s="75">
        <v>3445</v>
      </c>
      <c r="M7" s="64">
        <v>310.05</v>
      </c>
      <c r="N7" s="64">
        <v>310.05</v>
      </c>
      <c r="O7" s="64">
        <v>0</v>
      </c>
      <c r="P7" s="64">
        <v>0</v>
      </c>
      <c r="Q7" s="65">
        <v>4065.1</v>
      </c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</row>
    <row r="8" spans="1:32" x14ac:dyDescent="0.3">
      <c r="A8" s="60">
        <v>7</v>
      </c>
      <c r="B8" s="77" t="s">
        <v>241</v>
      </c>
      <c r="C8" s="62">
        <v>45874</v>
      </c>
      <c r="D8" s="63" t="s">
        <v>42</v>
      </c>
      <c r="E8" s="64" t="s">
        <v>43</v>
      </c>
      <c r="F8" s="75">
        <v>4820</v>
      </c>
      <c r="G8" s="68"/>
      <c r="H8" s="68"/>
      <c r="I8" s="75">
        <v>2083.3000000000002</v>
      </c>
      <c r="J8" s="68"/>
      <c r="K8" s="68"/>
      <c r="L8" s="75">
        <v>26300</v>
      </c>
      <c r="M8" s="64">
        <v>2367</v>
      </c>
      <c r="N8" s="64">
        <v>2367</v>
      </c>
      <c r="O8" s="64">
        <v>0</v>
      </c>
      <c r="P8" s="64">
        <v>0</v>
      </c>
      <c r="Q8" s="65">
        <v>31034</v>
      </c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</row>
    <row r="9" spans="1:32" x14ac:dyDescent="0.3">
      <c r="A9" s="60">
        <v>8</v>
      </c>
      <c r="B9" s="77" t="s">
        <v>242</v>
      </c>
      <c r="C9" s="62">
        <v>45874</v>
      </c>
      <c r="D9" s="63" t="s">
        <v>42</v>
      </c>
      <c r="E9" s="64" t="s">
        <v>43</v>
      </c>
      <c r="F9" s="75">
        <v>4820</v>
      </c>
      <c r="G9" s="75">
        <v>230</v>
      </c>
      <c r="H9" s="68"/>
      <c r="I9" s="68"/>
      <c r="J9" s="68"/>
      <c r="K9" s="68"/>
      <c r="L9" s="75">
        <v>3802</v>
      </c>
      <c r="M9" s="64">
        <v>342.18</v>
      </c>
      <c r="N9" s="64">
        <v>342.18</v>
      </c>
      <c r="O9" s="64">
        <v>0</v>
      </c>
      <c r="P9" s="64">
        <v>0</v>
      </c>
      <c r="Q9" s="65">
        <v>4486.3599999999997</v>
      </c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</row>
    <row r="10" spans="1:32" x14ac:dyDescent="0.3">
      <c r="A10" s="60">
        <v>9</v>
      </c>
      <c r="B10" s="77" t="s">
        <v>243</v>
      </c>
      <c r="C10" s="62">
        <v>45874</v>
      </c>
      <c r="D10" s="63" t="s">
        <v>57</v>
      </c>
      <c r="E10" s="64" t="s">
        <v>58</v>
      </c>
      <c r="F10" s="75">
        <v>4820</v>
      </c>
      <c r="G10" s="75">
        <v>344</v>
      </c>
      <c r="H10" s="68"/>
      <c r="I10" s="68"/>
      <c r="J10" s="68"/>
      <c r="K10" s="68"/>
      <c r="L10" s="75">
        <v>3680</v>
      </c>
      <c r="M10" s="64">
        <v>331.2</v>
      </c>
      <c r="N10" s="64">
        <v>331.2</v>
      </c>
      <c r="O10" s="64">
        <v>0</v>
      </c>
      <c r="P10" s="64">
        <v>0</v>
      </c>
      <c r="Q10" s="65">
        <v>4342.3999999999996</v>
      </c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</row>
    <row r="11" spans="1:32" x14ac:dyDescent="0.3">
      <c r="A11" s="60">
        <v>10</v>
      </c>
      <c r="B11" s="77" t="s">
        <v>244</v>
      </c>
      <c r="C11" s="62">
        <v>45874</v>
      </c>
      <c r="D11" s="63" t="s">
        <v>57</v>
      </c>
      <c r="E11" s="64" t="s">
        <v>58</v>
      </c>
      <c r="F11" s="75">
        <v>4820</v>
      </c>
      <c r="G11" s="75">
        <v>3</v>
      </c>
      <c r="H11" s="68"/>
      <c r="I11" s="68"/>
      <c r="J11" s="68"/>
      <c r="K11" s="68"/>
      <c r="L11" s="75">
        <v>840</v>
      </c>
      <c r="M11" s="64">
        <v>75.599999999999994</v>
      </c>
      <c r="N11" s="64">
        <v>75.599999999999994</v>
      </c>
      <c r="O11" s="64">
        <v>0</v>
      </c>
      <c r="P11" s="64">
        <v>0</v>
      </c>
      <c r="Q11" s="75">
        <v>991.2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</row>
    <row r="12" spans="1:32" x14ac:dyDescent="0.3">
      <c r="A12" s="60">
        <v>11</v>
      </c>
      <c r="B12" s="61" t="s">
        <v>245</v>
      </c>
      <c r="C12" s="62">
        <v>45874</v>
      </c>
      <c r="D12" s="63" t="s">
        <v>246</v>
      </c>
      <c r="E12" s="64" t="s">
        <v>70</v>
      </c>
      <c r="F12" s="75">
        <v>845190</v>
      </c>
      <c r="G12" s="68"/>
      <c r="H12" s="68"/>
      <c r="I12" s="75">
        <v>70</v>
      </c>
      <c r="J12" s="68"/>
      <c r="K12" s="68"/>
      <c r="L12" s="75">
        <v>6090</v>
      </c>
      <c r="M12" s="64">
        <v>548.1</v>
      </c>
      <c r="N12" s="64">
        <v>548.1</v>
      </c>
      <c r="O12" s="64">
        <v>0</v>
      </c>
      <c r="P12" s="64">
        <v>0</v>
      </c>
      <c r="Q12" s="65">
        <v>7186.2</v>
      </c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</row>
    <row r="13" spans="1:32" x14ac:dyDescent="0.3">
      <c r="A13" s="60">
        <v>12</v>
      </c>
      <c r="B13" s="61" t="s">
        <v>247</v>
      </c>
      <c r="C13" s="62">
        <v>45875</v>
      </c>
      <c r="D13" s="63" t="s">
        <v>135</v>
      </c>
      <c r="E13" s="64" t="s">
        <v>94</v>
      </c>
      <c r="F13" s="75">
        <v>4820</v>
      </c>
      <c r="G13" s="68"/>
      <c r="H13" s="75">
        <v>4</v>
      </c>
      <c r="I13" s="68"/>
      <c r="J13" s="68"/>
      <c r="K13" s="68"/>
      <c r="L13" s="75">
        <v>2400</v>
      </c>
      <c r="M13" s="64">
        <v>216</v>
      </c>
      <c r="N13" s="64">
        <v>216</v>
      </c>
      <c r="O13" s="64">
        <v>0</v>
      </c>
      <c r="P13" s="64">
        <v>0</v>
      </c>
      <c r="Q13" s="65">
        <v>2832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</row>
    <row r="14" spans="1:32" x14ac:dyDescent="0.3">
      <c r="A14" s="60">
        <v>13</v>
      </c>
      <c r="B14" s="61" t="s">
        <v>248</v>
      </c>
      <c r="C14" s="62">
        <v>45875</v>
      </c>
      <c r="D14" s="63" t="s">
        <v>45</v>
      </c>
      <c r="E14" s="64" t="s">
        <v>46</v>
      </c>
      <c r="F14" s="75">
        <v>4820</v>
      </c>
      <c r="G14" s="75">
        <v>5</v>
      </c>
      <c r="H14" s="68"/>
      <c r="I14" s="68"/>
      <c r="J14" s="68"/>
      <c r="K14" s="68"/>
      <c r="L14" s="75">
        <v>1480</v>
      </c>
      <c r="M14" s="64">
        <v>133.19999999999999</v>
      </c>
      <c r="N14" s="64">
        <v>133.19999999999999</v>
      </c>
      <c r="O14" s="64">
        <v>0</v>
      </c>
      <c r="P14" s="64">
        <v>0</v>
      </c>
      <c r="Q14" s="65">
        <v>1746.4</v>
      </c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</row>
    <row r="15" spans="1:32" x14ac:dyDescent="0.3">
      <c r="A15" s="60">
        <v>14</v>
      </c>
      <c r="B15" s="61" t="s">
        <v>249</v>
      </c>
      <c r="C15" s="62">
        <v>45877</v>
      </c>
      <c r="D15" s="63" t="s">
        <v>148</v>
      </c>
      <c r="E15" s="64" t="s">
        <v>49</v>
      </c>
      <c r="F15" s="75">
        <v>49110000</v>
      </c>
      <c r="G15" s="75">
        <v>15000</v>
      </c>
      <c r="H15" s="68"/>
      <c r="I15" s="68"/>
      <c r="J15" s="68"/>
      <c r="K15" s="68"/>
      <c r="L15" s="75">
        <v>111132</v>
      </c>
      <c r="M15" s="64">
        <v>0</v>
      </c>
      <c r="N15" s="64">
        <v>0</v>
      </c>
      <c r="O15" s="64">
        <v>20003.759999999998</v>
      </c>
      <c r="P15" s="64">
        <v>0</v>
      </c>
      <c r="Q15" s="65">
        <v>131135.76</v>
      </c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</row>
    <row r="16" spans="1:32" x14ac:dyDescent="0.3">
      <c r="A16" s="60">
        <v>15</v>
      </c>
      <c r="B16" s="78" t="s">
        <v>250</v>
      </c>
      <c r="C16" s="62">
        <v>45877</v>
      </c>
      <c r="D16" s="63" t="s">
        <v>132</v>
      </c>
      <c r="E16" s="64" t="s">
        <v>85</v>
      </c>
      <c r="F16" s="75">
        <v>4820</v>
      </c>
      <c r="G16" s="75">
        <v>20</v>
      </c>
      <c r="H16" s="68"/>
      <c r="I16" s="68"/>
      <c r="J16" s="68"/>
      <c r="K16" s="68"/>
      <c r="L16" s="75">
        <v>2300</v>
      </c>
      <c r="M16" s="64">
        <v>0</v>
      </c>
      <c r="N16" s="64">
        <v>0</v>
      </c>
      <c r="O16" s="64">
        <v>414</v>
      </c>
      <c r="P16" s="64">
        <v>0</v>
      </c>
      <c r="Q16" s="65">
        <v>2714</v>
      </c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</row>
    <row r="17" spans="1:32" x14ac:dyDescent="0.3">
      <c r="A17" s="60">
        <v>16</v>
      </c>
      <c r="B17" s="78" t="s">
        <v>251</v>
      </c>
      <c r="C17" s="62">
        <v>45877</v>
      </c>
      <c r="D17" s="63" t="s">
        <v>132</v>
      </c>
      <c r="E17" s="64" t="s">
        <v>85</v>
      </c>
      <c r="F17" s="75">
        <v>3919</v>
      </c>
      <c r="G17" s="75">
        <v>15000</v>
      </c>
      <c r="H17" s="68"/>
      <c r="I17" s="68"/>
      <c r="J17" s="68"/>
      <c r="K17" s="68"/>
      <c r="L17" s="75">
        <v>9720</v>
      </c>
      <c r="M17" s="64">
        <v>0</v>
      </c>
      <c r="N17" s="64">
        <v>0</v>
      </c>
      <c r="O17" s="64">
        <v>1749.6</v>
      </c>
      <c r="P17" s="64">
        <v>0</v>
      </c>
      <c r="Q17" s="65">
        <v>11469.6</v>
      </c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</row>
    <row r="18" spans="1:32" x14ac:dyDescent="0.3">
      <c r="A18" s="60">
        <v>17</v>
      </c>
      <c r="B18" s="61" t="s">
        <v>252</v>
      </c>
      <c r="C18" s="62">
        <v>45880</v>
      </c>
      <c r="D18" s="63" t="s">
        <v>253</v>
      </c>
      <c r="E18" s="64" t="s">
        <v>254</v>
      </c>
      <c r="F18" s="75">
        <v>4911</v>
      </c>
      <c r="G18" s="68"/>
      <c r="H18" s="68"/>
      <c r="I18" s="75">
        <v>94</v>
      </c>
      <c r="J18" s="68"/>
      <c r="K18" s="68"/>
      <c r="L18" s="75">
        <v>12877.6</v>
      </c>
      <c r="M18" s="64">
        <v>1158.9839999999999</v>
      </c>
      <c r="N18" s="64">
        <v>1158.9839999999999</v>
      </c>
      <c r="O18" s="64">
        <v>0</v>
      </c>
      <c r="P18" s="64">
        <v>0</v>
      </c>
      <c r="Q18" s="65">
        <v>15195.57</v>
      </c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</row>
    <row r="19" spans="1:32" x14ac:dyDescent="0.3">
      <c r="A19" s="60">
        <v>18</v>
      </c>
      <c r="B19" s="78" t="s">
        <v>255</v>
      </c>
      <c r="C19" s="62">
        <v>45881</v>
      </c>
      <c r="D19" s="63" t="s">
        <v>132</v>
      </c>
      <c r="E19" s="64" t="s">
        <v>85</v>
      </c>
      <c r="F19" s="75">
        <v>4820</v>
      </c>
      <c r="G19" s="75">
        <v>162</v>
      </c>
      <c r="H19" s="68"/>
      <c r="I19" s="68"/>
      <c r="J19" s="68"/>
      <c r="K19" s="68"/>
      <c r="L19" s="75">
        <v>18630</v>
      </c>
      <c r="M19" s="64">
        <v>0</v>
      </c>
      <c r="N19" s="64">
        <v>0</v>
      </c>
      <c r="O19" s="64">
        <v>3353.4</v>
      </c>
      <c r="P19" s="64">
        <v>0</v>
      </c>
      <c r="Q19" s="65">
        <v>21983.4</v>
      </c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</row>
    <row r="20" spans="1:32" x14ac:dyDescent="0.3">
      <c r="A20" s="60">
        <v>19</v>
      </c>
      <c r="B20" s="78" t="s">
        <v>256</v>
      </c>
      <c r="C20" s="62">
        <v>45881</v>
      </c>
      <c r="D20" s="63" t="s">
        <v>132</v>
      </c>
      <c r="E20" s="64" t="s">
        <v>85</v>
      </c>
      <c r="F20" s="75">
        <v>4911</v>
      </c>
      <c r="G20" s="75">
        <v>16</v>
      </c>
      <c r="H20" s="68"/>
      <c r="I20" s="68"/>
      <c r="J20" s="68"/>
      <c r="K20" s="68"/>
      <c r="L20" s="75">
        <v>1920</v>
      </c>
      <c r="M20" s="64">
        <v>0</v>
      </c>
      <c r="N20" s="64">
        <v>0</v>
      </c>
      <c r="O20" s="64">
        <v>345.6</v>
      </c>
      <c r="P20" s="64">
        <v>0</v>
      </c>
      <c r="Q20" s="65">
        <v>2265.6</v>
      </c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</row>
    <row r="21" spans="1:32" x14ac:dyDescent="0.3">
      <c r="A21" s="60">
        <v>20</v>
      </c>
      <c r="B21" s="78" t="s">
        <v>257</v>
      </c>
      <c r="C21" s="62">
        <v>45881</v>
      </c>
      <c r="D21" s="63" t="s">
        <v>132</v>
      </c>
      <c r="E21" s="64" t="s">
        <v>85</v>
      </c>
      <c r="F21" s="75">
        <v>4820</v>
      </c>
      <c r="G21" s="75">
        <v>1000</v>
      </c>
      <c r="H21" s="68"/>
      <c r="I21" s="68"/>
      <c r="J21" s="68"/>
      <c r="K21" s="68"/>
      <c r="L21" s="75">
        <v>3000</v>
      </c>
      <c r="M21" s="64">
        <v>0</v>
      </c>
      <c r="N21" s="64">
        <v>0</v>
      </c>
      <c r="O21" s="64">
        <v>540</v>
      </c>
      <c r="P21" s="64">
        <v>0</v>
      </c>
      <c r="Q21" s="65">
        <v>3540</v>
      </c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</row>
    <row r="22" spans="1:32" x14ac:dyDescent="0.3">
      <c r="A22" s="60">
        <v>21</v>
      </c>
      <c r="B22" s="78" t="s">
        <v>258</v>
      </c>
      <c r="C22" s="62">
        <v>45883</v>
      </c>
      <c r="D22" s="63" t="s">
        <v>132</v>
      </c>
      <c r="E22" s="64" t="s">
        <v>85</v>
      </c>
      <c r="F22" s="75">
        <v>4911</v>
      </c>
      <c r="G22" s="75">
        <v>1</v>
      </c>
      <c r="H22" s="68"/>
      <c r="I22" s="68"/>
      <c r="J22" s="68"/>
      <c r="K22" s="68"/>
      <c r="L22" s="75">
        <v>6596</v>
      </c>
      <c r="M22" s="64">
        <v>0</v>
      </c>
      <c r="N22" s="64">
        <v>0</v>
      </c>
      <c r="O22" s="64">
        <v>1187.28</v>
      </c>
      <c r="P22" s="64">
        <v>0</v>
      </c>
      <c r="Q22" s="65">
        <v>7783.28</v>
      </c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x14ac:dyDescent="0.3">
      <c r="A23" s="60">
        <v>22</v>
      </c>
      <c r="B23" s="78" t="s">
        <v>259</v>
      </c>
      <c r="C23" s="62">
        <v>45883</v>
      </c>
      <c r="D23" s="63" t="s">
        <v>132</v>
      </c>
      <c r="E23" s="64" t="s">
        <v>85</v>
      </c>
      <c r="F23" s="75">
        <v>4911</v>
      </c>
      <c r="G23" s="75">
        <v>44</v>
      </c>
      <c r="H23" s="68"/>
      <c r="I23" s="68"/>
      <c r="J23" s="68"/>
      <c r="K23" s="68"/>
      <c r="L23" s="75">
        <v>6597.5</v>
      </c>
      <c r="M23" s="64">
        <v>0</v>
      </c>
      <c r="N23" s="64">
        <v>0</v>
      </c>
      <c r="O23" s="64">
        <v>1187.55</v>
      </c>
      <c r="P23" s="64">
        <v>0</v>
      </c>
      <c r="Q23" s="65">
        <v>7785.05</v>
      </c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x14ac:dyDescent="0.3">
      <c r="A24" s="60">
        <v>23</v>
      </c>
      <c r="B24" s="78" t="s">
        <v>260</v>
      </c>
      <c r="C24" s="62">
        <v>45883</v>
      </c>
      <c r="D24" s="63" t="s">
        <v>132</v>
      </c>
      <c r="E24" s="64" t="s">
        <v>85</v>
      </c>
      <c r="F24" s="75">
        <v>4911</v>
      </c>
      <c r="G24" s="75">
        <v>12</v>
      </c>
      <c r="H24" s="68"/>
      <c r="I24" s="68"/>
      <c r="J24" s="68"/>
      <c r="K24" s="68"/>
      <c r="L24" s="75">
        <v>1440</v>
      </c>
      <c r="M24" s="64">
        <v>0</v>
      </c>
      <c r="N24" s="64">
        <v>0</v>
      </c>
      <c r="O24" s="64">
        <v>259.2</v>
      </c>
      <c r="P24" s="64">
        <v>0</v>
      </c>
      <c r="Q24" s="65">
        <v>1699.2</v>
      </c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x14ac:dyDescent="0.3">
      <c r="A25" s="60">
        <v>24</v>
      </c>
      <c r="B25" s="78" t="s">
        <v>261</v>
      </c>
      <c r="C25" s="62">
        <v>45883</v>
      </c>
      <c r="D25" s="63" t="s">
        <v>145</v>
      </c>
      <c r="E25" s="64" t="s">
        <v>146</v>
      </c>
      <c r="F25" s="75">
        <v>8544</v>
      </c>
      <c r="G25" s="75">
        <v>100</v>
      </c>
      <c r="H25" s="68"/>
      <c r="I25" s="68"/>
      <c r="J25" s="68"/>
      <c r="K25" s="68"/>
      <c r="L25" s="75">
        <v>9560</v>
      </c>
      <c r="M25" s="64">
        <v>860.4</v>
      </c>
      <c r="N25" s="64">
        <v>860.4</v>
      </c>
      <c r="O25" s="64">
        <v>0</v>
      </c>
      <c r="P25" s="64">
        <v>0</v>
      </c>
      <c r="Q25" s="65">
        <v>11280.8</v>
      </c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x14ac:dyDescent="0.3">
      <c r="A26" s="60">
        <v>25</v>
      </c>
      <c r="B26" s="77" t="s">
        <v>262</v>
      </c>
      <c r="C26" s="62">
        <v>45883</v>
      </c>
      <c r="D26" s="63" t="s">
        <v>145</v>
      </c>
      <c r="E26" s="64" t="s">
        <v>146</v>
      </c>
      <c r="F26" s="75">
        <v>3402</v>
      </c>
      <c r="G26" s="75">
        <v>150</v>
      </c>
      <c r="H26" s="68"/>
      <c r="I26" s="68"/>
      <c r="J26" s="68"/>
      <c r="K26" s="68"/>
      <c r="L26" s="75">
        <v>4200</v>
      </c>
      <c r="M26" s="64">
        <v>378</v>
      </c>
      <c r="N26" s="64">
        <v>378</v>
      </c>
      <c r="O26" s="64">
        <v>0</v>
      </c>
      <c r="P26" s="64">
        <v>0</v>
      </c>
      <c r="Q26" s="65">
        <v>4956</v>
      </c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x14ac:dyDescent="0.3">
      <c r="A27" s="60">
        <v>26</v>
      </c>
      <c r="B27" s="77" t="s">
        <v>263</v>
      </c>
      <c r="C27" s="62">
        <v>45883</v>
      </c>
      <c r="D27" s="63" t="s">
        <v>145</v>
      </c>
      <c r="E27" s="64" t="s">
        <v>146</v>
      </c>
      <c r="F27" s="75">
        <v>9405</v>
      </c>
      <c r="G27" s="75">
        <v>100</v>
      </c>
      <c r="H27" s="68"/>
      <c r="I27" s="68"/>
      <c r="J27" s="68"/>
      <c r="K27" s="68"/>
      <c r="L27" s="75">
        <v>7000</v>
      </c>
      <c r="M27" s="64">
        <v>630</v>
      </c>
      <c r="N27" s="64">
        <v>630</v>
      </c>
      <c r="O27" s="64">
        <v>0</v>
      </c>
      <c r="P27" s="64">
        <v>0</v>
      </c>
      <c r="Q27" s="65">
        <v>8260</v>
      </c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</row>
    <row r="28" spans="1:32" x14ac:dyDescent="0.3">
      <c r="A28" s="60">
        <v>27</v>
      </c>
      <c r="B28" s="77" t="s">
        <v>264</v>
      </c>
      <c r="C28" s="62">
        <v>45888</v>
      </c>
      <c r="D28" s="63" t="s">
        <v>42</v>
      </c>
      <c r="E28" s="64" t="s">
        <v>43</v>
      </c>
      <c r="F28" s="75">
        <v>4820</v>
      </c>
      <c r="G28" s="75">
        <v>140</v>
      </c>
      <c r="H28" s="68"/>
      <c r="I28" s="68"/>
      <c r="J28" s="68"/>
      <c r="K28" s="68"/>
      <c r="L28" s="75">
        <v>1555</v>
      </c>
      <c r="M28" s="64">
        <v>139.94999999999999</v>
      </c>
      <c r="N28" s="64">
        <v>139.94999999999999</v>
      </c>
      <c r="O28" s="64">
        <v>0</v>
      </c>
      <c r="P28" s="64">
        <v>0</v>
      </c>
      <c r="Q28" s="65">
        <v>1834.9</v>
      </c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</row>
    <row r="29" spans="1:32" x14ac:dyDescent="0.3">
      <c r="A29" s="60">
        <v>28</v>
      </c>
      <c r="B29" s="77" t="s">
        <v>265</v>
      </c>
      <c r="C29" s="62">
        <v>45888</v>
      </c>
      <c r="D29" s="63" t="s">
        <v>42</v>
      </c>
      <c r="E29" s="64" t="s">
        <v>43</v>
      </c>
      <c r="F29" s="75">
        <v>4820</v>
      </c>
      <c r="G29" s="75">
        <v>280</v>
      </c>
      <c r="H29" s="68"/>
      <c r="I29" s="68"/>
      <c r="J29" s="68"/>
      <c r="K29" s="68"/>
      <c r="L29" s="75">
        <v>840</v>
      </c>
      <c r="M29" s="64">
        <v>75.599999999999994</v>
      </c>
      <c r="N29" s="64">
        <v>75.599999999999994</v>
      </c>
      <c r="O29" s="64">
        <v>0</v>
      </c>
      <c r="P29" s="64">
        <v>0</v>
      </c>
      <c r="Q29" s="75">
        <v>991.2</v>
      </c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</row>
    <row r="30" spans="1:32" x14ac:dyDescent="0.3">
      <c r="A30" s="60">
        <v>29</v>
      </c>
      <c r="B30" s="77" t="s">
        <v>266</v>
      </c>
      <c r="C30" s="62">
        <v>45888</v>
      </c>
      <c r="D30" s="63" t="s">
        <v>42</v>
      </c>
      <c r="E30" s="64" t="s">
        <v>43</v>
      </c>
      <c r="F30" s="75">
        <v>4820</v>
      </c>
      <c r="G30" s="75">
        <v>170</v>
      </c>
      <c r="H30" s="68"/>
      <c r="I30" s="68"/>
      <c r="J30" s="68"/>
      <c r="K30" s="68"/>
      <c r="L30" s="75">
        <v>1870</v>
      </c>
      <c r="M30" s="64">
        <v>168.3</v>
      </c>
      <c r="N30" s="64">
        <v>168.3</v>
      </c>
      <c r="O30" s="64">
        <v>0</v>
      </c>
      <c r="P30" s="64">
        <v>0</v>
      </c>
      <c r="Q30" s="65">
        <v>2206.6</v>
      </c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</row>
    <row r="31" spans="1:32" x14ac:dyDescent="0.3">
      <c r="A31" s="60">
        <v>30</v>
      </c>
      <c r="B31" s="77" t="s">
        <v>267</v>
      </c>
      <c r="C31" s="62">
        <v>45888</v>
      </c>
      <c r="D31" s="63" t="s">
        <v>42</v>
      </c>
      <c r="E31" s="64" t="s">
        <v>43</v>
      </c>
      <c r="F31" s="75">
        <v>4820</v>
      </c>
      <c r="G31" s="75">
        <v>3</v>
      </c>
      <c r="H31" s="68"/>
      <c r="I31" s="68"/>
      <c r="J31" s="68"/>
      <c r="K31" s="68"/>
      <c r="L31" s="75">
        <v>840</v>
      </c>
      <c r="M31" s="64">
        <v>75.599999999999994</v>
      </c>
      <c r="N31" s="64">
        <v>75.599999999999994</v>
      </c>
      <c r="O31" s="64">
        <v>0</v>
      </c>
      <c r="P31" s="64">
        <v>0</v>
      </c>
      <c r="Q31" s="75">
        <v>991.2</v>
      </c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</row>
    <row r="32" spans="1:32" x14ac:dyDescent="0.3">
      <c r="A32" s="60">
        <v>31</v>
      </c>
      <c r="B32" s="77" t="s">
        <v>268</v>
      </c>
      <c r="C32" s="62">
        <v>45888</v>
      </c>
      <c r="D32" s="63" t="s">
        <v>42</v>
      </c>
      <c r="E32" s="64" t="s">
        <v>43</v>
      </c>
      <c r="F32" s="75">
        <v>4820</v>
      </c>
      <c r="G32" s="68"/>
      <c r="H32" s="68"/>
      <c r="I32" s="75">
        <v>156.25</v>
      </c>
      <c r="J32" s="68"/>
      <c r="K32" s="68"/>
      <c r="L32" s="75">
        <v>29250</v>
      </c>
      <c r="M32" s="64">
        <v>2632.5</v>
      </c>
      <c r="N32" s="64">
        <v>2632.5</v>
      </c>
      <c r="O32" s="64">
        <v>0</v>
      </c>
      <c r="P32" s="64">
        <v>0</v>
      </c>
      <c r="Q32" s="65">
        <v>34515</v>
      </c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</row>
    <row r="33" spans="1:32" x14ac:dyDescent="0.3">
      <c r="A33" s="60">
        <v>32</v>
      </c>
      <c r="B33" s="77" t="s">
        <v>269</v>
      </c>
      <c r="C33" s="62">
        <v>45888</v>
      </c>
      <c r="D33" s="63" t="s">
        <v>42</v>
      </c>
      <c r="E33" s="64" t="s">
        <v>43</v>
      </c>
      <c r="F33" s="75">
        <v>4820</v>
      </c>
      <c r="G33" s="75">
        <v>260</v>
      </c>
      <c r="H33" s="68"/>
      <c r="I33" s="68"/>
      <c r="J33" s="68"/>
      <c r="K33" s="68"/>
      <c r="L33" s="75">
        <v>3640</v>
      </c>
      <c r="M33" s="64">
        <v>327.60000000000002</v>
      </c>
      <c r="N33" s="64">
        <v>327.60000000000002</v>
      </c>
      <c r="O33" s="64">
        <v>0</v>
      </c>
      <c r="P33" s="64">
        <v>0</v>
      </c>
      <c r="Q33" s="65">
        <v>4295.2</v>
      </c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</row>
    <row r="34" spans="1:32" x14ac:dyDescent="0.3">
      <c r="A34" s="60">
        <v>33</v>
      </c>
      <c r="B34" s="78" t="s">
        <v>270</v>
      </c>
      <c r="C34" s="62">
        <v>45890</v>
      </c>
      <c r="D34" s="63" t="s">
        <v>132</v>
      </c>
      <c r="E34" s="64" t="s">
        <v>85</v>
      </c>
      <c r="F34" s="75">
        <v>4911</v>
      </c>
      <c r="G34" s="75">
        <v>14</v>
      </c>
      <c r="H34" s="68"/>
      <c r="I34" s="68"/>
      <c r="J34" s="68"/>
      <c r="K34" s="68"/>
      <c r="L34" s="75">
        <v>1680</v>
      </c>
      <c r="M34" s="64">
        <v>0</v>
      </c>
      <c r="N34" s="64">
        <v>0</v>
      </c>
      <c r="O34" s="64">
        <v>302.39999999999998</v>
      </c>
      <c r="P34" s="64">
        <v>0</v>
      </c>
      <c r="Q34" s="65">
        <v>1982.4</v>
      </c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</row>
    <row r="35" spans="1:32" x14ac:dyDescent="0.3">
      <c r="A35" s="60">
        <v>34</v>
      </c>
      <c r="B35" s="78" t="s">
        <v>271</v>
      </c>
      <c r="C35" s="62">
        <v>45890</v>
      </c>
      <c r="D35" s="63" t="s">
        <v>132</v>
      </c>
      <c r="E35" s="64" t="s">
        <v>85</v>
      </c>
      <c r="F35" s="75">
        <v>4820</v>
      </c>
      <c r="G35" s="75">
        <v>18</v>
      </c>
      <c r="H35" s="68"/>
      <c r="I35" s="68"/>
      <c r="J35" s="68"/>
      <c r="K35" s="68"/>
      <c r="L35" s="75">
        <v>2070</v>
      </c>
      <c r="M35" s="64">
        <v>0</v>
      </c>
      <c r="N35" s="64">
        <v>0</v>
      </c>
      <c r="O35" s="64">
        <v>372.6</v>
      </c>
      <c r="P35" s="64">
        <v>0</v>
      </c>
      <c r="Q35" s="65">
        <v>2442.6</v>
      </c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</row>
    <row r="36" spans="1:32" x14ac:dyDescent="0.3">
      <c r="A36" s="60">
        <v>35</v>
      </c>
      <c r="B36" s="78" t="s">
        <v>272</v>
      </c>
      <c r="C36" s="62">
        <v>45890</v>
      </c>
      <c r="D36" s="63" t="s">
        <v>132</v>
      </c>
      <c r="E36" s="64" t="s">
        <v>85</v>
      </c>
      <c r="F36" s="75">
        <v>4820</v>
      </c>
      <c r="G36" s="75">
        <v>10</v>
      </c>
      <c r="H36" s="68"/>
      <c r="I36" s="68"/>
      <c r="J36" s="68"/>
      <c r="K36" s="68"/>
      <c r="L36" s="75">
        <v>4538.5</v>
      </c>
      <c r="M36" s="64">
        <v>0</v>
      </c>
      <c r="N36" s="64">
        <v>0</v>
      </c>
      <c r="O36" s="64">
        <v>816.93</v>
      </c>
      <c r="P36" s="64">
        <v>0</v>
      </c>
      <c r="Q36" s="65">
        <v>5355.43</v>
      </c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</row>
    <row r="37" spans="1:32" x14ac:dyDescent="0.3">
      <c r="A37" s="60">
        <v>36</v>
      </c>
      <c r="B37" s="78" t="s">
        <v>273</v>
      </c>
      <c r="C37" s="62">
        <v>45890</v>
      </c>
      <c r="D37" s="63" t="s">
        <v>132</v>
      </c>
      <c r="E37" s="64" t="s">
        <v>85</v>
      </c>
      <c r="F37" s="75">
        <v>4820</v>
      </c>
      <c r="G37" s="75">
        <v>30</v>
      </c>
      <c r="H37" s="68"/>
      <c r="I37" s="68"/>
      <c r="J37" s="68"/>
      <c r="K37" s="68"/>
      <c r="L37" s="75">
        <v>1440</v>
      </c>
      <c r="M37" s="64">
        <v>0</v>
      </c>
      <c r="N37" s="64">
        <v>0</v>
      </c>
      <c r="O37" s="64">
        <v>259.2</v>
      </c>
      <c r="P37" s="64">
        <v>0</v>
      </c>
      <c r="Q37" s="65">
        <v>1699.2</v>
      </c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</row>
    <row r="38" spans="1:32" x14ac:dyDescent="0.3">
      <c r="A38" s="60">
        <v>37</v>
      </c>
      <c r="B38" s="78" t="s">
        <v>274</v>
      </c>
      <c r="C38" s="62">
        <v>45890</v>
      </c>
      <c r="D38" s="63" t="s">
        <v>132</v>
      </c>
      <c r="E38" s="64" t="s">
        <v>85</v>
      </c>
      <c r="F38" s="75">
        <v>8534</v>
      </c>
      <c r="G38" s="75">
        <v>4</v>
      </c>
      <c r="H38" s="68"/>
      <c r="I38" s="68"/>
      <c r="J38" s="68"/>
      <c r="K38" s="68"/>
      <c r="L38" s="75">
        <v>7600</v>
      </c>
      <c r="M38" s="64">
        <v>0</v>
      </c>
      <c r="N38" s="64">
        <v>0</v>
      </c>
      <c r="O38" s="64">
        <v>1368</v>
      </c>
      <c r="P38" s="64">
        <v>0</v>
      </c>
      <c r="Q38" s="65">
        <v>8968</v>
      </c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</row>
    <row r="39" spans="1:32" x14ac:dyDescent="0.3">
      <c r="A39" s="60">
        <v>38</v>
      </c>
      <c r="B39" s="61" t="s">
        <v>275</v>
      </c>
      <c r="C39" s="62">
        <v>45890</v>
      </c>
      <c r="D39" s="63" t="s">
        <v>135</v>
      </c>
      <c r="E39" s="64" t="s">
        <v>94</v>
      </c>
      <c r="F39" s="75">
        <v>4820</v>
      </c>
      <c r="G39" s="68"/>
      <c r="H39" s="75">
        <v>8</v>
      </c>
      <c r="I39" s="68"/>
      <c r="J39" s="68"/>
      <c r="K39" s="68"/>
      <c r="L39" s="75">
        <v>5835</v>
      </c>
      <c r="M39" s="64">
        <v>525.15</v>
      </c>
      <c r="N39" s="64">
        <v>525.15</v>
      </c>
      <c r="O39" s="64">
        <v>0</v>
      </c>
      <c r="P39" s="64">
        <v>0</v>
      </c>
      <c r="Q39" s="65">
        <v>6885.3</v>
      </c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</row>
    <row r="40" spans="1:32" x14ac:dyDescent="0.3">
      <c r="A40" s="60">
        <v>39</v>
      </c>
      <c r="B40" s="78" t="s">
        <v>276</v>
      </c>
      <c r="C40" s="62">
        <v>45891</v>
      </c>
      <c r="D40" s="63" t="s">
        <v>277</v>
      </c>
      <c r="E40" s="64" t="s">
        <v>55</v>
      </c>
      <c r="F40" s="75">
        <v>4820</v>
      </c>
      <c r="G40" s="75">
        <v>190</v>
      </c>
      <c r="H40" s="68"/>
      <c r="I40" s="68"/>
      <c r="J40" s="68"/>
      <c r="K40" s="68"/>
      <c r="L40" s="75">
        <v>2080</v>
      </c>
      <c r="M40" s="64">
        <v>187.2</v>
      </c>
      <c r="N40" s="64">
        <v>187.2</v>
      </c>
      <c r="O40" s="64">
        <v>0</v>
      </c>
      <c r="P40" s="64">
        <v>0</v>
      </c>
      <c r="Q40" s="65">
        <v>2454.4</v>
      </c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</row>
    <row r="41" spans="1:32" x14ac:dyDescent="0.3">
      <c r="A41" s="60">
        <v>40</v>
      </c>
      <c r="B41" s="78" t="s">
        <v>278</v>
      </c>
      <c r="C41" s="62">
        <v>45891</v>
      </c>
      <c r="D41" s="63" t="s">
        <v>277</v>
      </c>
      <c r="E41" s="64" t="s">
        <v>55</v>
      </c>
      <c r="F41" s="75">
        <v>4820</v>
      </c>
      <c r="G41" s="75">
        <v>3</v>
      </c>
      <c r="H41" s="68"/>
      <c r="I41" s="68"/>
      <c r="J41" s="68"/>
      <c r="K41" s="68"/>
      <c r="L41" s="75">
        <v>840</v>
      </c>
      <c r="M41" s="64">
        <v>75.599999999999994</v>
      </c>
      <c r="N41" s="64">
        <v>75.599999999999994</v>
      </c>
      <c r="O41" s="64">
        <v>0</v>
      </c>
      <c r="P41" s="64">
        <v>0</v>
      </c>
      <c r="Q41" s="75">
        <v>991.2</v>
      </c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</row>
    <row r="42" spans="1:32" x14ac:dyDescent="0.3">
      <c r="A42" s="60">
        <v>41</v>
      </c>
      <c r="B42" s="77" t="s">
        <v>279</v>
      </c>
      <c r="C42" s="62">
        <v>45891</v>
      </c>
      <c r="D42" s="63" t="s">
        <v>280</v>
      </c>
      <c r="E42" s="63" t="s">
        <v>76</v>
      </c>
      <c r="F42" s="75">
        <v>3919</v>
      </c>
      <c r="G42" s="75">
        <v>4228</v>
      </c>
      <c r="H42" s="68"/>
      <c r="I42" s="68"/>
      <c r="J42" s="68"/>
      <c r="K42" s="68"/>
      <c r="L42" s="75">
        <v>46508</v>
      </c>
      <c r="M42" s="64">
        <v>0</v>
      </c>
      <c r="N42" s="64">
        <v>0</v>
      </c>
      <c r="O42" s="64">
        <v>8371.44</v>
      </c>
      <c r="P42" s="64">
        <v>0</v>
      </c>
      <c r="Q42" s="65">
        <v>54879.44</v>
      </c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</row>
    <row r="43" spans="1:32" x14ac:dyDescent="0.3">
      <c r="A43" s="60">
        <v>42</v>
      </c>
      <c r="B43" s="78" t="s">
        <v>281</v>
      </c>
      <c r="C43" s="62">
        <v>45892</v>
      </c>
      <c r="D43" s="63" t="s">
        <v>132</v>
      </c>
      <c r="E43" s="64" t="s">
        <v>85</v>
      </c>
      <c r="F43" s="75">
        <v>4820</v>
      </c>
      <c r="G43" s="75">
        <v>90</v>
      </c>
      <c r="H43" s="68"/>
      <c r="I43" s="68"/>
      <c r="J43" s="68"/>
      <c r="K43" s="68"/>
      <c r="L43" s="75">
        <v>6720</v>
      </c>
      <c r="M43" s="64">
        <v>0</v>
      </c>
      <c r="N43" s="64">
        <v>0</v>
      </c>
      <c r="O43" s="64">
        <v>1209.5999999999999</v>
      </c>
      <c r="P43" s="64">
        <v>0</v>
      </c>
      <c r="Q43" s="65">
        <v>7929.6</v>
      </c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</row>
    <row r="44" spans="1:32" x14ac:dyDescent="0.3">
      <c r="A44" s="60">
        <v>43</v>
      </c>
      <c r="B44" s="78" t="s">
        <v>282</v>
      </c>
      <c r="C44" s="62">
        <v>45894</v>
      </c>
      <c r="D44" s="63" t="s">
        <v>132</v>
      </c>
      <c r="E44" s="64" t="s">
        <v>85</v>
      </c>
      <c r="F44" s="75">
        <v>4820</v>
      </c>
      <c r="G44" s="75">
        <v>225</v>
      </c>
      <c r="H44" s="68"/>
      <c r="I44" s="68"/>
      <c r="J44" s="68"/>
      <c r="K44" s="68"/>
      <c r="L44" s="75">
        <v>18000</v>
      </c>
      <c r="M44" s="64">
        <v>0</v>
      </c>
      <c r="N44" s="64">
        <v>0</v>
      </c>
      <c r="O44" s="64">
        <v>3240</v>
      </c>
      <c r="P44" s="64">
        <v>0</v>
      </c>
      <c r="Q44" s="65">
        <v>21240</v>
      </c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</row>
    <row r="45" spans="1:32" x14ac:dyDescent="0.3">
      <c r="A45" s="60">
        <v>44</v>
      </c>
      <c r="B45" s="78" t="s">
        <v>283</v>
      </c>
      <c r="C45" s="62">
        <v>45894</v>
      </c>
      <c r="D45" s="63" t="s">
        <v>132</v>
      </c>
      <c r="E45" s="64" t="s">
        <v>85</v>
      </c>
      <c r="F45" s="75">
        <v>4911</v>
      </c>
      <c r="G45" s="75">
        <v>24</v>
      </c>
      <c r="H45" s="68"/>
      <c r="I45" s="68"/>
      <c r="J45" s="68"/>
      <c r="K45" s="68"/>
      <c r="L45" s="75">
        <v>2880</v>
      </c>
      <c r="M45" s="64">
        <v>0</v>
      </c>
      <c r="N45" s="64">
        <v>0</v>
      </c>
      <c r="O45" s="64">
        <v>518.4</v>
      </c>
      <c r="P45" s="64">
        <v>0</v>
      </c>
      <c r="Q45" s="65">
        <v>3398.4</v>
      </c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</row>
    <row r="46" spans="1:32" x14ac:dyDescent="0.3">
      <c r="A46" s="60">
        <v>45</v>
      </c>
      <c r="B46" s="77" t="s">
        <v>284</v>
      </c>
      <c r="C46" s="79">
        <v>45895</v>
      </c>
      <c r="D46" s="63" t="s">
        <v>75</v>
      </c>
      <c r="E46" s="63" t="s">
        <v>76</v>
      </c>
      <c r="F46" s="75">
        <v>3919</v>
      </c>
      <c r="G46" s="75">
        <v>3027</v>
      </c>
      <c r="H46" s="68"/>
      <c r="I46" s="68"/>
      <c r="J46" s="68"/>
      <c r="K46" s="68"/>
      <c r="L46" s="75">
        <v>33297</v>
      </c>
      <c r="M46" s="64">
        <v>0</v>
      </c>
      <c r="N46" s="64">
        <v>0</v>
      </c>
      <c r="O46" s="64">
        <v>5993.46</v>
      </c>
      <c r="P46" s="64">
        <v>0</v>
      </c>
      <c r="Q46" s="65">
        <v>39290.46</v>
      </c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</row>
    <row r="47" spans="1:32" x14ac:dyDescent="0.3">
      <c r="A47" s="60">
        <v>46</v>
      </c>
      <c r="B47" s="61" t="s">
        <v>285</v>
      </c>
      <c r="C47" s="79">
        <v>45895</v>
      </c>
      <c r="D47" s="63" t="s">
        <v>45</v>
      </c>
      <c r="E47" s="64" t="s">
        <v>46</v>
      </c>
      <c r="F47" s="75">
        <v>4820</v>
      </c>
      <c r="G47" s="75">
        <v>20</v>
      </c>
      <c r="H47" s="68"/>
      <c r="I47" s="68"/>
      <c r="J47" s="68"/>
      <c r="K47" s="68"/>
      <c r="L47" s="75">
        <v>3200</v>
      </c>
      <c r="M47" s="64">
        <v>288</v>
      </c>
      <c r="N47" s="64">
        <v>288</v>
      </c>
      <c r="O47" s="64">
        <v>0</v>
      </c>
      <c r="P47" s="64">
        <v>0</v>
      </c>
      <c r="Q47" s="65">
        <v>3776</v>
      </c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</row>
    <row r="48" spans="1:32" x14ac:dyDescent="0.3">
      <c r="A48" s="60">
        <v>47</v>
      </c>
      <c r="B48" s="61" t="s">
        <v>286</v>
      </c>
      <c r="C48" s="62">
        <v>45897</v>
      </c>
      <c r="D48" s="63" t="s">
        <v>148</v>
      </c>
      <c r="E48" s="64" t="s">
        <v>49</v>
      </c>
      <c r="F48" s="75">
        <v>49110000</v>
      </c>
      <c r="G48" s="75">
        <v>6400</v>
      </c>
      <c r="H48" s="68"/>
      <c r="I48" s="68"/>
      <c r="J48" s="68"/>
      <c r="K48" s="68"/>
      <c r="L48" s="75">
        <v>31011.87</v>
      </c>
      <c r="M48" s="64">
        <v>0</v>
      </c>
      <c r="N48" s="64">
        <v>0</v>
      </c>
      <c r="O48" s="64">
        <v>5582.1365999999998</v>
      </c>
      <c r="P48" s="64">
        <v>0</v>
      </c>
      <c r="Q48" s="65">
        <v>36594.01</v>
      </c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</row>
    <row r="49" spans="1:32" x14ac:dyDescent="0.3">
      <c r="A49" s="60">
        <v>48</v>
      </c>
      <c r="B49" s="77" t="s">
        <v>287</v>
      </c>
      <c r="C49" s="79">
        <v>45898</v>
      </c>
      <c r="D49" s="63" t="s">
        <v>57</v>
      </c>
      <c r="E49" s="64" t="s">
        <v>58</v>
      </c>
      <c r="F49" s="75">
        <v>4820</v>
      </c>
      <c r="G49" s="75">
        <v>20</v>
      </c>
      <c r="H49" s="68"/>
      <c r="I49" s="68"/>
      <c r="J49" s="68"/>
      <c r="K49" s="68"/>
      <c r="L49" s="75">
        <v>1640</v>
      </c>
      <c r="M49" s="64">
        <v>147.6</v>
      </c>
      <c r="N49" s="64">
        <v>147.6</v>
      </c>
      <c r="O49" s="64">
        <v>0</v>
      </c>
      <c r="P49" s="64">
        <v>0</v>
      </c>
      <c r="Q49" s="65">
        <v>1935.2</v>
      </c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</row>
    <row r="50" spans="1:32" x14ac:dyDescent="0.3">
      <c r="A50" s="60">
        <v>49</v>
      </c>
      <c r="B50" s="61" t="s">
        <v>288</v>
      </c>
      <c r="C50" s="79">
        <v>45898</v>
      </c>
      <c r="D50" s="63" t="s">
        <v>42</v>
      </c>
      <c r="E50" s="64" t="s">
        <v>43</v>
      </c>
      <c r="F50" s="75">
        <v>4911</v>
      </c>
      <c r="G50" s="75">
        <v>118532</v>
      </c>
      <c r="H50" s="68"/>
      <c r="I50" s="68"/>
      <c r="J50" s="68"/>
      <c r="K50" s="68"/>
      <c r="L50" s="75">
        <v>118532</v>
      </c>
      <c r="M50" s="64">
        <v>10667.88</v>
      </c>
      <c r="N50" s="64">
        <v>10667.88</v>
      </c>
      <c r="O50" s="64">
        <v>0</v>
      </c>
      <c r="P50" s="64">
        <v>0</v>
      </c>
      <c r="Q50" s="65">
        <v>139867.76</v>
      </c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</row>
    <row r="51" spans="1:32" x14ac:dyDescent="0.3">
      <c r="A51" s="60">
        <v>50</v>
      </c>
      <c r="B51" s="61" t="s">
        <v>289</v>
      </c>
      <c r="C51" s="79">
        <v>45899</v>
      </c>
      <c r="D51" s="63" t="s">
        <v>45</v>
      </c>
      <c r="E51" s="64" t="s">
        <v>46</v>
      </c>
      <c r="F51" s="75">
        <v>4911</v>
      </c>
      <c r="G51" s="75">
        <v>50</v>
      </c>
      <c r="H51" s="68"/>
      <c r="I51" s="68"/>
      <c r="J51" s="68"/>
      <c r="K51" s="68"/>
      <c r="L51" s="75">
        <v>6000</v>
      </c>
      <c r="M51" s="64">
        <v>540</v>
      </c>
      <c r="N51" s="64">
        <v>540</v>
      </c>
      <c r="O51" s="64">
        <v>0</v>
      </c>
      <c r="P51" s="64">
        <v>0</v>
      </c>
      <c r="Q51" s="65">
        <v>7080</v>
      </c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</row>
    <row r="52" spans="1:32" x14ac:dyDescent="0.3">
      <c r="A52" s="60">
        <v>51</v>
      </c>
      <c r="B52" s="61" t="s">
        <v>290</v>
      </c>
      <c r="C52" s="79">
        <v>45899</v>
      </c>
      <c r="D52" s="63" t="s">
        <v>291</v>
      </c>
      <c r="E52" s="64" t="s">
        <v>292</v>
      </c>
      <c r="F52" s="75">
        <v>4911</v>
      </c>
      <c r="G52" s="75">
        <v>3</v>
      </c>
      <c r="H52" s="68"/>
      <c r="I52" s="68"/>
      <c r="J52" s="68"/>
      <c r="K52" s="68"/>
      <c r="L52" s="75">
        <v>649.6</v>
      </c>
      <c r="M52" s="64">
        <v>0</v>
      </c>
      <c r="N52" s="64">
        <v>0</v>
      </c>
      <c r="O52" s="64">
        <v>116.928</v>
      </c>
      <c r="P52" s="64">
        <v>0</v>
      </c>
      <c r="Q52" s="75">
        <v>766.53</v>
      </c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</row>
    <row r="53" spans="1:32" x14ac:dyDescent="0.3">
      <c r="A53" s="66"/>
      <c r="B53" s="67"/>
      <c r="C53" s="63"/>
      <c r="D53" s="63"/>
      <c r="E53" s="63"/>
      <c r="F53" s="68"/>
      <c r="G53" s="68"/>
      <c r="H53" s="68"/>
      <c r="I53" s="68"/>
      <c r="J53" s="68"/>
      <c r="K53" s="68"/>
      <c r="L53" s="68"/>
      <c r="M53" s="63"/>
      <c r="N53" s="63"/>
      <c r="O53" s="63"/>
      <c r="P53" s="63"/>
      <c r="Q53" s="68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</row>
    <row r="54" spans="1:32" x14ac:dyDescent="0.3">
      <c r="A54" s="66"/>
      <c r="B54" s="67"/>
      <c r="C54" s="63"/>
      <c r="D54" s="63"/>
      <c r="E54" s="63"/>
      <c r="F54" s="68"/>
      <c r="G54" s="68"/>
      <c r="H54" s="68"/>
      <c r="I54" s="68"/>
      <c r="J54" s="68"/>
      <c r="K54" s="68"/>
      <c r="L54" s="68"/>
      <c r="M54" s="63"/>
      <c r="N54" s="63"/>
      <c r="O54" s="63"/>
      <c r="P54" s="63"/>
      <c r="Q54" s="68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</row>
    <row r="55" spans="1:32" x14ac:dyDescent="0.3">
      <c r="A55" s="158" t="s">
        <v>172</v>
      </c>
      <c r="B55" s="159"/>
      <c r="C55" s="159"/>
      <c r="D55" s="159"/>
      <c r="E55" s="160"/>
      <c r="F55" s="67"/>
      <c r="G55" s="67"/>
      <c r="H55" s="67"/>
      <c r="I55" s="67"/>
      <c r="J55" s="67"/>
      <c r="K55" s="67"/>
      <c r="L55" s="80">
        <v>644957.06999999995</v>
      </c>
      <c r="M55" s="81">
        <v>28769.99</v>
      </c>
      <c r="N55" s="81">
        <v>28769.99</v>
      </c>
      <c r="O55" s="81">
        <v>58552.28</v>
      </c>
      <c r="P55" s="82">
        <v>0</v>
      </c>
      <c r="Q55" s="81">
        <v>761049.34</v>
      </c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</row>
    <row r="56" spans="1:32" x14ac:dyDescent="0.3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</row>
    <row r="57" spans="1:32" x14ac:dyDescent="0.3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</row>
    <row r="58" spans="1:32" x14ac:dyDescent="0.3">
      <c r="A58" s="161" t="s">
        <v>173</v>
      </c>
      <c r="B58" s="162"/>
      <c r="C58" s="163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5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</row>
    <row r="59" spans="1:32" x14ac:dyDescent="0.3">
      <c r="A59" s="55" t="s">
        <v>174</v>
      </c>
      <c r="B59" s="56" t="s">
        <v>26</v>
      </c>
      <c r="C59" s="56" t="s">
        <v>27</v>
      </c>
      <c r="D59" s="56" t="s">
        <v>28</v>
      </c>
      <c r="E59" s="56" t="s">
        <v>29</v>
      </c>
      <c r="F59" s="57" t="s">
        <v>110</v>
      </c>
      <c r="G59" s="58"/>
      <c r="H59" s="58"/>
      <c r="I59" s="58"/>
      <c r="J59" s="57" t="s">
        <v>127</v>
      </c>
      <c r="K59" s="58"/>
      <c r="L59" s="57" t="s">
        <v>175</v>
      </c>
      <c r="M59" s="57" t="s">
        <v>36</v>
      </c>
      <c r="N59" s="57" t="s">
        <v>37</v>
      </c>
      <c r="O59" s="57" t="s">
        <v>38</v>
      </c>
      <c r="P59" s="59" t="s">
        <v>176</v>
      </c>
      <c r="Q59" s="57" t="s">
        <v>177</v>
      </c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</row>
    <row r="60" spans="1:32" x14ac:dyDescent="0.3">
      <c r="A60" s="60">
        <v>1</v>
      </c>
      <c r="B60" s="61">
        <v>2070</v>
      </c>
      <c r="C60" s="62">
        <v>45872</v>
      </c>
      <c r="D60" s="63" t="s">
        <v>113</v>
      </c>
      <c r="E60" s="64" t="s">
        <v>114</v>
      </c>
      <c r="F60" s="64">
        <v>44111200</v>
      </c>
      <c r="G60" s="63"/>
      <c r="H60" s="63"/>
      <c r="I60" s="63"/>
      <c r="J60" s="63"/>
      <c r="K60" s="63"/>
      <c r="L60" s="64">
        <v>87200</v>
      </c>
      <c r="M60" s="64">
        <v>7848</v>
      </c>
      <c r="N60" s="64">
        <v>7848</v>
      </c>
      <c r="O60" s="64">
        <v>0</v>
      </c>
      <c r="P60" s="64">
        <v>0</v>
      </c>
      <c r="Q60" s="65">
        <v>102896</v>
      </c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</row>
    <row r="61" spans="1:32" x14ac:dyDescent="0.3">
      <c r="A61" s="66"/>
      <c r="B61" s="67"/>
      <c r="C61" s="63"/>
      <c r="D61" s="63"/>
      <c r="E61" s="63"/>
      <c r="F61" s="64">
        <v>39219099</v>
      </c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8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</row>
    <row r="62" spans="1:32" x14ac:dyDescent="0.3">
      <c r="A62" s="60">
        <v>2</v>
      </c>
      <c r="B62" s="61" t="s">
        <v>293</v>
      </c>
      <c r="C62" s="62">
        <v>45874</v>
      </c>
      <c r="D62" s="63" t="s">
        <v>294</v>
      </c>
      <c r="E62" s="64" t="s">
        <v>295</v>
      </c>
      <c r="F62" s="64">
        <v>8517300</v>
      </c>
      <c r="G62" s="63"/>
      <c r="H62" s="63"/>
      <c r="I62" s="63"/>
      <c r="J62" s="63"/>
      <c r="K62" s="63"/>
      <c r="L62" s="64">
        <v>14500</v>
      </c>
      <c r="M62" s="64">
        <v>1305</v>
      </c>
      <c r="N62" s="64">
        <v>1305</v>
      </c>
      <c r="O62" s="64">
        <v>0</v>
      </c>
      <c r="P62" s="64">
        <v>0</v>
      </c>
      <c r="Q62" s="65">
        <v>17110</v>
      </c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</row>
    <row r="63" spans="1:32" x14ac:dyDescent="0.3">
      <c r="A63" s="60">
        <v>3</v>
      </c>
      <c r="B63" s="61">
        <v>2073</v>
      </c>
      <c r="C63" s="62">
        <v>45876</v>
      </c>
      <c r="D63" s="63" t="s">
        <v>113</v>
      </c>
      <c r="E63" s="64" t="s">
        <v>114</v>
      </c>
      <c r="F63" s="64">
        <v>39219099</v>
      </c>
      <c r="G63" s="63"/>
      <c r="H63" s="63"/>
      <c r="I63" s="63"/>
      <c r="J63" s="63"/>
      <c r="K63" s="63"/>
      <c r="L63" s="64">
        <v>36300</v>
      </c>
      <c r="M63" s="64">
        <v>3267</v>
      </c>
      <c r="N63" s="64">
        <v>3267</v>
      </c>
      <c r="O63" s="64">
        <v>0</v>
      </c>
      <c r="P63" s="64">
        <v>0</v>
      </c>
      <c r="Q63" s="65">
        <v>42834</v>
      </c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</row>
    <row r="64" spans="1:32" x14ac:dyDescent="0.3">
      <c r="A64" s="60">
        <v>4</v>
      </c>
      <c r="B64" s="61" t="s">
        <v>296</v>
      </c>
      <c r="C64" s="62">
        <v>45881</v>
      </c>
      <c r="D64" s="63" t="s">
        <v>297</v>
      </c>
      <c r="E64" s="64" t="s">
        <v>211</v>
      </c>
      <c r="F64" s="64">
        <v>84439959</v>
      </c>
      <c r="G64" s="63"/>
      <c r="H64" s="63"/>
      <c r="I64" s="63"/>
      <c r="J64" s="63"/>
      <c r="K64" s="63"/>
      <c r="L64" s="64">
        <v>11000</v>
      </c>
      <c r="M64" s="64">
        <v>990</v>
      </c>
      <c r="N64" s="64">
        <v>990</v>
      </c>
      <c r="O64" s="64">
        <v>0</v>
      </c>
      <c r="P64" s="64">
        <v>0</v>
      </c>
      <c r="Q64" s="65">
        <v>12980</v>
      </c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</row>
    <row r="65" spans="1:32" x14ac:dyDescent="0.3">
      <c r="A65" s="60">
        <v>5</v>
      </c>
      <c r="B65" s="61" t="s">
        <v>298</v>
      </c>
      <c r="C65" s="62">
        <v>45883</v>
      </c>
      <c r="D65" s="63" t="s">
        <v>299</v>
      </c>
      <c r="E65" s="64" t="s">
        <v>300</v>
      </c>
      <c r="F65" s="64">
        <v>2828</v>
      </c>
      <c r="G65" s="63"/>
      <c r="H65" s="63"/>
      <c r="I65" s="63"/>
      <c r="J65" s="63"/>
      <c r="K65" s="63"/>
      <c r="L65" s="64">
        <v>2550</v>
      </c>
      <c r="M65" s="64">
        <v>229.5</v>
      </c>
      <c r="N65" s="64">
        <v>229.5</v>
      </c>
      <c r="O65" s="64">
        <v>0</v>
      </c>
      <c r="P65" s="64">
        <v>0</v>
      </c>
      <c r="Q65" s="65">
        <v>3009</v>
      </c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</row>
    <row r="66" spans="1:32" x14ac:dyDescent="0.3">
      <c r="A66" s="69"/>
      <c r="B66" s="67"/>
      <c r="C66" s="63"/>
      <c r="D66" s="63"/>
      <c r="E66" s="63"/>
      <c r="F66" s="64">
        <v>2806</v>
      </c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8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</row>
    <row r="67" spans="1:32" x14ac:dyDescent="0.3">
      <c r="A67" s="70">
        <v>6</v>
      </c>
      <c r="B67" s="61">
        <v>2079</v>
      </c>
      <c r="C67" s="62">
        <v>45888</v>
      </c>
      <c r="D67" s="63" t="s">
        <v>113</v>
      </c>
      <c r="E67" s="64" t="s">
        <v>114</v>
      </c>
      <c r="F67" s="64">
        <v>44111200</v>
      </c>
      <c r="G67" s="63"/>
      <c r="H67" s="63"/>
      <c r="I67" s="63"/>
      <c r="J67" s="63"/>
      <c r="K67" s="63"/>
      <c r="L67" s="64">
        <v>71200</v>
      </c>
      <c r="M67" s="64">
        <v>6408</v>
      </c>
      <c r="N67" s="64">
        <v>6408</v>
      </c>
      <c r="O67" s="64">
        <v>0</v>
      </c>
      <c r="P67" s="64">
        <v>0</v>
      </c>
      <c r="Q67" s="65">
        <v>84016</v>
      </c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</row>
    <row r="68" spans="1:32" x14ac:dyDescent="0.3">
      <c r="A68" s="69"/>
      <c r="B68" s="67"/>
      <c r="C68" s="63"/>
      <c r="D68" s="63"/>
      <c r="E68" s="63"/>
      <c r="F68" s="64">
        <v>39219099</v>
      </c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8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</row>
    <row r="69" spans="1:32" x14ac:dyDescent="0.3">
      <c r="A69" s="70">
        <v>7</v>
      </c>
      <c r="B69" s="61" t="s">
        <v>301</v>
      </c>
      <c r="C69" s="62">
        <v>45889</v>
      </c>
      <c r="D69" s="63" t="s">
        <v>302</v>
      </c>
      <c r="E69" s="64" t="s">
        <v>303</v>
      </c>
      <c r="F69" s="64">
        <v>85171300</v>
      </c>
      <c r="G69" s="63"/>
      <c r="H69" s="63"/>
      <c r="I69" s="63"/>
      <c r="J69" s="63"/>
      <c r="K69" s="63"/>
      <c r="L69" s="64">
        <v>133898.31</v>
      </c>
      <c r="M69" s="64">
        <v>0</v>
      </c>
      <c r="N69" s="64">
        <v>0</v>
      </c>
      <c r="O69" s="64">
        <v>24101.695800000001</v>
      </c>
      <c r="P69" s="64">
        <v>0</v>
      </c>
      <c r="Q69" s="65">
        <v>158000.01</v>
      </c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</row>
    <row r="70" spans="1:32" x14ac:dyDescent="0.3">
      <c r="A70" s="70">
        <v>8</v>
      </c>
      <c r="B70" s="61">
        <v>196</v>
      </c>
      <c r="C70" s="62">
        <v>45892</v>
      </c>
      <c r="D70" s="63" t="s">
        <v>304</v>
      </c>
      <c r="E70" s="64" t="s">
        <v>116</v>
      </c>
      <c r="F70" s="64">
        <v>3919</v>
      </c>
      <c r="G70" s="63"/>
      <c r="H70" s="63"/>
      <c r="I70" s="63"/>
      <c r="J70" s="63"/>
      <c r="K70" s="63"/>
      <c r="L70" s="64">
        <v>63416</v>
      </c>
      <c r="M70" s="64">
        <v>0</v>
      </c>
      <c r="N70" s="64">
        <v>0</v>
      </c>
      <c r="O70" s="64">
        <v>11414.88</v>
      </c>
      <c r="P70" s="64">
        <v>0</v>
      </c>
      <c r="Q70" s="65">
        <v>74830.880000000005</v>
      </c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</row>
    <row r="71" spans="1:32" x14ac:dyDescent="0.3">
      <c r="A71" s="70">
        <v>9</v>
      </c>
      <c r="B71" s="61" t="s">
        <v>305</v>
      </c>
      <c r="C71" s="62">
        <v>45898</v>
      </c>
      <c r="D71" s="63" t="s">
        <v>306</v>
      </c>
      <c r="E71" s="64" t="s">
        <v>307</v>
      </c>
      <c r="F71" s="64">
        <v>84145120</v>
      </c>
      <c r="G71" s="63"/>
      <c r="H71" s="63"/>
      <c r="I71" s="63"/>
      <c r="J71" s="63"/>
      <c r="K71" s="63"/>
      <c r="L71" s="64">
        <v>12711.86</v>
      </c>
      <c r="M71" s="64">
        <v>1144.0673999999999</v>
      </c>
      <c r="N71" s="64">
        <v>1144.0673999999999</v>
      </c>
      <c r="O71" s="64">
        <v>0</v>
      </c>
      <c r="P71" s="64">
        <v>0</v>
      </c>
      <c r="Q71" s="65">
        <v>14999.99</v>
      </c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</row>
    <row r="72" spans="1:32" x14ac:dyDescent="0.3">
      <c r="A72" s="70">
        <v>10</v>
      </c>
      <c r="B72" s="61" t="s">
        <v>308</v>
      </c>
      <c r="C72" s="62">
        <v>45898</v>
      </c>
      <c r="D72" s="63" t="s">
        <v>309</v>
      </c>
      <c r="E72" s="64" t="s">
        <v>196</v>
      </c>
      <c r="F72" s="64">
        <v>84439959</v>
      </c>
      <c r="G72" s="63"/>
      <c r="H72" s="63"/>
      <c r="I72" s="63"/>
      <c r="J72" s="63"/>
      <c r="K72" s="63"/>
      <c r="L72" s="64">
        <v>10700</v>
      </c>
      <c r="M72" s="64">
        <v>0</v>
      </c>
      <c r="N72" s="64">
        <v>0</v>
      </c>
      <c r="O72" s="64">
        <v>1926</v>
      </c>
      <c r="P72" s="64">
        <v>0</v>
      </c>
      <c r="Q72" s="65">
        <v>12626</v>
      </c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</row>
    <row r="73" spans="1:32" x14ac:dyDescent="0.3">
      <c r="A73" s="70">
        <v>11</v>
      </c>
      <c r="B73" s="61">
        <v>2089</v>
      </c>
      <c r="C73" s="62">
        <v>45899</v>
      </c>
      <c r="D73" s="63" t="s">
        <v>113</v>
      </c>
      <c r="E73" s="64" t="s">
        <v>114</v>
      </c>
      <c r="F73" s="64">
        <v>44111200</v>
      </c>
      <c r="G73" s="63"/>
      <c r="H73" s="63"/>
      <c r="I73" s="63"/>
      <c r="J73" s="63"/>
      <c r="K73" s="63"/>
      <c r="L73" s="64">
        <v>36000</v>
      </c>
      <c r="M73" s="64">
        <v>3240</v>
      </c>
      <c r="N73" s="64">
        <v>3240</v>
      </c>
      <c r="O73" s="64">
        <v>0</v>
      </c>
      <c r="P73" s="64">
        <v>0</v>
      </c>
      <c r="Q73" s="65">
        <v>42480</v>
      </c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</row>
    <row r="74" spans="1:32" x14ac:dyDescent="0.3">
      <c r="A74" s="69"/>
      <c r="B74" s="67"/>
      <c r="C74" s="63"/>
      <c r="D74" s="63"/>
      <c r="E74" s="63"/>
      <c r="F74" s="64">
        <v>39219099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</row>
    <row r="75" spans="1:32" x14ac:dyDescent="0.3">
      <c r="A75" s="69"/>
      <c r="B75" s="67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</row>
    <row r="76" spans="1:32" x14ac:dyDescent="0.3">
      <c r="A76" s="69"/>
      <c r="B76" s="67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</row>
    <row r="77" spans="1:32" x14ac:dyDescent="0.3">
      <c r="A77" s="69"/>
      <c r="B77" s="67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</row>
    <row r="78" spans="1:32" x14ac:dyDescent="0.3">
      <c r="A78" s="69"/>
      <c r="B78" s="67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</row>
    <row r="79" spans="1:32" x14ac:dyDescent="0.3">
      <c r="A79" s="69"/>
      <c r="B79" s="67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</row>
    <row r="80" spans="1:32" x14ac:dyDescent="0.3">
      <c r="A80" s="69"/>
      <c r="B80" s="67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</row>
    <row r="81" spans="1:32" x14ac:dyDescent="0.3">
      <c r="A81" s="69"/>
      <c r="B81" s="67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</row>
    <row r="82" spans="1:32" x14ac:dyDescent="0.3">
      <c r="A82" s="69"/>
      <c r="B82" s="67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</row>
    <row r="83" spans="1:32" x14ac:dyDescent="0.3">
      <c r="A83" s="69"/>
      <c r="B83" s="67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</row>
    <row r="84" spans="1:32" x14ac:dyDescent="0.3">
      <c r="A84" s="69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</row>
    <row r="85" spans="1:32" x14ac:dyDescent="0.3">
      <c r="A85" s="69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</row>
    <row r="86" spans="1:32" x14ac:dyDescent="0.3">
      <c r="A86" s="69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</row>
    <row r="87" spans="1:32" x14ac:dyDescent="0.3">
      <c r="A87" s="158" t="s">
        <v>172</v>
      </c>
      <c r="B87" s="159"/>
      <c r="C87" s="159"/>
      <c r="D87" s="159"/>
      <c r="E87" s="160"/>
      <c r="F87" s="84"/>
      <c r="G87" s="84"/>
      <c r="H87" s="84"/>
      <c r="I87" s="84"/>
      <c r="J87" s="84"/>
      <c r="K87" s="84"/>
      <c r="L87" s="85">
        <v>479476.17</v>
      </c>
      <c r="M87" s="86">
        <v>24431.5674</v>
      </c>
      <c r="N87" s="86">
        <v>24431.5674</v>
      </c>
      <c r="O87" s="86">
        <v>37442.575799999999</v>
      </c>
      <c r="P87" s="86">
        <v>0</v>
      </c>
      <c r="Q87" s="85">
        <v>565781.88</v>
      </c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</row>
    <row r="88" spans="1:32" x14ac:dyDescent="0.3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</row>
    <row r="89" spans="1:32" x14ac:dyDescent="0.3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83"/>
      <c r="N89" s="83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</row>
    <row r="90" spans="1:32" x14ac:dyDescent="0.3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87"/>
      <c r="M90" s="63"/>
      <c r="N90" s="64" t="s">
        <v>197</v>
      </c>
      <c r="O90" s="74"/>
      <c r="P90" s="83"/>
      <c r="Q90" s="83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</row>
    <row r="91" spans="1:32" x14ac:dyDescent="0.3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87"/>
      <c r="M91" s="64" t="s">
        <v>198</v>
      </c>
      <c r="N91" s="88">
        <v>116092.27</v>
      </c>
      <c r="O91" s="87"/>
      <c r="P91" s="63" t="s">
        <v>310</v>
      </c>
      <c r="Q91" s="88">
        <v>116092.27</v>
      </c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</row>
    <row r="92" spans="1:32" x14ac:dyDescent="0.3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87"/>
      <c r="M92" s="64" t="s">
        <v>199</v>
      </c>
      <c r="N92" s="89">
        <v>86305.710600000006</v>
      </c>
      <c r="O92" s="87"/>
      <c r="P92" s="63" t="s">
        <v>311</v>
      </c>
      <c r="Q92" s="89">
        <v>103839.42</v>
      </c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</row>
    <row r="93" spans="1:32" x14ac:dyDescent="0.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87"/>
      <c r="M93" s="64" t="s">
        <v>200</v>
      </c>
      <c r="N93" s="88">
        <v>29786.560000000001</v>
      </c>
      <c r="O93" s="87"/>
      <c r="P93" s="63" t="s">
        <v>312</v>
      </c>
      <c r="Q93" s="88">
        <v>12252.85</v>
      </c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</row>
    <row r="94" spans="1:32" x14ac:dyDescent="0.3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</row>
    <row r="95" spans="1:32" x14ac:dyDescent="0.3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</row>
    <row r="96" spans="1:32" x14ac:dyDescent="0.3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</row>
    <row r="97" spans="1:32" x14ac:dyDescent="0.3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</row>
    <row r="98" spans="1:32" x14ac:dyDescent="0.3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</row>
    <row r="99" spans="1:32" x14ac:dyDescent="0.3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</row>
    <row r="100" spans="1:32" x14ac:dyDescent="0.3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</row>
    <row r="101" spans="1:32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</row>
    <row r="102" spans="1:32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</row>
    <row r="103" spans="1:32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</row>
    <row r="104" spans="1:32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</row>
    <row r="105" spans="1:32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</row>
    <row r="106" spans="1:32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</row>
    <row r="107" spans="1:32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</row>
    <row r="108" spans="1:32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</row>
    <row r="109" spans="1:32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</row>
    <row r="110" spans="1:32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</row>
    <row r="111" spans="1:32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</row>
    <row r="112" spans="1:32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</row>
    <row r="113" spans="1:32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</row>
    <row r="114" spans="1:32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</row>
    <row r="115" spans="1:32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</row>
    <row r="116" spans="1:32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</row>
    <row r="117" spans="1:32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</row>
    <row r="118" spans="1:32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</row>
    <row r="119" spans="1:32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</row>
    <row r="120" spans="1:32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</row>
    <row r="121" spans="1:32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</row>
    <row r="122" spans="1:32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</row>
    <row r="123" spans="1:32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</row>
    <row r="124" spans="1:32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</row>
    <row r="125" spans="1:32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</row>
    <row r="126" spans="1:32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</row>
    <row r="127" spans="1:32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</row>
    <row r="128" spans="1:32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</row>
    <row r="129" spans="1:32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</row>
    <row r="130" spans="1:32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</row>
    <row r="131" spans="1:32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</row>
    <row r="132" spans="1:32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</row>
    <row r="133" spans="1:32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</row>
    <row r="134" spans="1:32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</row>
    <row r="135" spans="1:32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</row>
    <row r="136" spans="1:32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</row>
    <row r="137" spans="1:32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</row>
    <row r="138" spans="1:32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</row>
    <row r="139" spans="1:32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</row>
    <row r="140" spans="1:32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</row>
    <row r="141" spans="1:32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</row>
    <row r="142" spans="1:32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</row>
    <row r="143" spans="1:32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</row>
    <row r="144" spans="1:32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</row>
    <row r="145" spans="1:32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</row>
    <row r="146" spans="1:32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</row>
    <row r="147" spans="1:32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</row>
    <row r="148" spans="1:32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</row>
    <row r="149" spans="1:32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</row>
    <row r="150" spans="1:32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</row>
    <row r="151" spans="1:32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</row>
    <row r="152" spans="1:32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</row>
    <row r="153" spans="1:32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</row>
    <row r="154" spans="1:32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</row>
    <row r="155" spans="1:32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</row>
    <row r="156" spans="1:32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</row>
    <row r="157" spans="1:32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</row>
    <row r="158" spans="1:32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</row>
    <row r="159" spans="1:32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</row>
    <row r="160" spans="1:32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</row>
    <row r="161" spans="1:32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</row>
    <row r="162" spans="1:32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</row>
    <row r="163" spans="1:32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</row>
    <row r="164" spans="1:32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</row>
    <row r="165" spans="1:32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</row>
    <row r="166" spans="1:32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</row>
    <row r="167" spans="1:32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</row>
    <row r="168" spans="1:32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</row>
    <row r="169" spans="1:32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</row>
    <row r="170" spans="1:32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</row>
    <row r="171" spans="1:32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</row>
    <row r="172" spans="1:32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</row>
    <row r="173" spans="1:32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</row>
    <row r="174" spans="1:32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</row>
    <row r="175" spans="1:32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</row>
    <row r="176" spans="1:32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</row>
    <row r="177" spans="1:32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</row>
    <row r="178" spans="1:32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</row>
    <row r="179" spans="1:32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</row>
    <row r="180" spans="1:32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</row>
    <row r="181" spans="1:32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</row>
    <row r="182" spans="1:32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</row>
    <row r="183" spans="1:32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</row>
    <row r="184" spans="1:32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</row>
    <row r="185" spans="1:32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</row>
    <row r="186" spans="1:32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</row>
    <row r="187" spans="1:32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</row>
    <row r="188" spans="1:32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</row>
    <row r="189" spans="1:32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</row>
    <row r="190" spans="1:32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</row>
    <row r="191" spans="1:32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</row>
    <row r="192" spans="1:32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</row>
    <row r="193" spans="1:32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</row>
    <row r="194" spans="1:32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</row>
    <row r="195" spans="1:32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</row>
    <row r="196" spans="1:32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</row>
    <row r="197" spans="1:32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</row>
    <row r="198" spans="1:32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</row>
    <row r="199" spans="1:32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</row>
    <row r="200" spans="1:32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</row>
    <row r="201" spans="1:32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</row>
    <row r="202" spans="1:32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</row>
    <row r="203" spans="1:32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</row>
    <row r="204" spans="1:32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</row>
    <row r="205" spans="1:32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</row>
    <row r="206" spans="1:32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</row>
    <row r="207" spans="1:32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</row>
    <row r="208" spans="1:32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</row>
    <row r="209" spans="1:32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</row>
    <row r="210" spans="1:32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</row>
    <row r="211" spans="1:32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</row>
    <row r="212" spans="1:32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</row>
    <row r="213" spans="1:32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</row>
    <row r="214" spans="1:32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</row>
    <row r="215" spans="1:32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</row>
    <row r="216" spans="1:32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</row>
    <row r="217" spans="1:32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</row>
    <row r="218" spans="1:32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</row>
    <row r="219" spans="1:32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</row>
    <row r="220" spans="1:32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</row>
    <row r="221" spans="1:32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</row>
    <row r="222" spans="1:32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</row>
    <row r="223" spans="1:32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</row>
    <row r="224" spans="1:32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</row>
    <row r="225" spans="1:32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</row>
    <row r="226" spans="1:32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</row>
    <row r="227" spans="1:32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</row>
    <row r="228" spans="1:32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</row>
    <row r="229" spans="1:32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</row>
    <row r="230" spans="1:32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</row>
    <row r="231" spans="1:32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</row>
    <row r="232" spans="1:32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</row>
    <row r="233" spans="1:32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</row>
    <row r="234" spans="1:32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</row>
    <row r="235" spans="1:32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</row>
    <row r="236" spans="1:32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</row>
    <row r="237" spans="1:32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</row>
    <row r="238" spans="1:32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</row>
    <row r="239" spans="1:32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</row>
    <row r="240" spans="1:32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</row>
    <row r="241" spans="1:32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</row>
    <row r="242" spans="1:32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</row>
    <row r="243" spans="1:32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</row>
    <row r="244" spans="1:32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</row>
    <row r="245" spans="1:32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</row>
    <row r="246" spans="1:32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</row>
    <row r="247" spans="1:32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</row>
    <row r="248" spans="1:32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</row>
    <row r="249" spans="1:32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</row>
    <row r="250" spans="1:32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</row>
    <row r="251" spans="1:32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</row>
    <row r="252" spans="1:32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</row>
    <row r="253" spans="1:32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</row>
    <row r="254" spans="1:32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</row>
    <row r="255" spans="1:32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</row>
    <row r="256" spans="1:32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</row>
    <row r="257" spans="1:32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</row>
    <row r="258" spans="1:32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</row>
    <row r="259" spans="1:32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</row>
    <row r="260" spans="1:32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</row>
    <row r="261" spans="1:32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</row>
    <row r="262" spans="1:32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</row>
    <row r="263" spans="1:32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</row>
    <row r="264" spans="1:32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</row>
    <row r="265" spans="1:32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</row>
    <row r="266" spans="1:32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</row>
    <row r="267" spans="1:32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</row>
    <row r="268" spans="1:32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</row>
    <row r="269" spans="1:32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</row>
    <row r="270" spans="1:32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</row>
    <row r="271" spans="1:32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</row>
    <row r="272" spans="1:32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</row>
    <row r="273" spans="1:32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</row>
    <row r="274" spans="1:32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</row>
    <row r="275" spans="1:32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</row>
    <row r="276" spans="1:32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</row>
    <row r="277" spans="1:32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</row>
    <row r="278" spans="1:32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</row>
    <row r="279" spans="1:32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</row>
    <row r="280" spans="1:32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</row>
    <row r="281" spans="1:32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</row>
    <row r="282" spans="1:32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</row>
    <row r="283" spans="1:32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</row>
    <row r="284" spans="1:32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</row>
    <row r="285" spans="1:32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</row>
    <row r="286" spans="1:32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</row>
    <row r="287" spans="1:32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</row>
    <row r="288" spans="1:32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</row>
    <row r="289" spans="1:32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</row>
    <row r="290" spans="1:32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</row>
    <row r="291" spans="1:32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</row>
    <row r="292" spans="1:32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</row>
    <row r="293" spans="1:32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</row>
    <row r="294" spans="1:32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</row>
    <row r="295" spans="1:32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</row>
    <row r="296" spans="1:32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</row>
    <row r="297" spans="1:32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</row>
    <row r="298" spans="1:32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</row>
    <row r="299" spans="1:32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</row>
    <row r="300" spans="1:32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</row>
    <row r="301" spans="1:32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</row>
    <row r="302" spans="1:32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</row>
    <row r="303" spans="1:32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</row>
    <row r="304" spans="1:32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</row>
    <row r="305" spans="1:32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</row>
    <row r="306" spans="1:32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</row>
    <row r="307" spans="1:32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</row>
    <row r="308" spans="1:32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</row>
    <row r="309" spans="1:32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</row>
    <row r="310" spans="1:32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</row>
    <row r="311" spans="1:32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</row>
    <row r="312" spans="1:32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</row>
    <row r="313" spans="1:32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</row>
    <row r="314" spans="1:32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</row>
    <row r="315" spans="1:32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</row>
    <row r="316" spans="1:32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</row>
    <row r="317" spans="1:32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</row>
    <row r="318" spans="1:32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</row>
    <row r="319" spans="1:32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</row>
    <row r="320" spans="1:32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</row>
    <row r="321" spans="1:32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</row>
    <row r="322" spans="1:32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</row>
    <row r="323" spans="1:32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</row>
    <row r="324" spans="1:32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</row>
    <row r="325" spans="1:32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</row>
    <row r="326" spans="1:32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</row>
    <row r="327" spans="1:32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</row>
    <row r="328" spans="1:32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</row>
    <row r="329" spans="1:32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</row>
    <row r="330" spans="1:32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</row>
    <row r="331" spans="1:32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</row>
    <row r="332" spans="1:32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</row>
    <row r="333" spans="1:32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</row>
    <row r="334" spans="1:32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</row>
    <row r="335" spans="1:32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</row>
    <row r="336" spans="1:32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</row>
    <row r="337" spans="1:32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</row>
    <row r="338" spans="1:32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</row>
    <row r="339" spans="1:32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</row>
    <row r="340" spans="1:32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</row>
    <row r="341" spans="1:32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</row>
    <row r="342" spans="1:32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</row>
    <row r="343" spans="1:32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</row>
    <row r="344" spans="1:32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</row>
    <row r="345" spans="1:32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</row>
    <row r="346" spans="1:32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</row>
    <row r="347" spans="1:32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</row>
    <row r="348" spans="1:32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</row>
    <row r="349" spans="1:32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</row>
    <row r="350" spans="1:32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</row>
    <row r="351" spans="1:32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</row>
    <row r="352" spans="1:32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</row>
    <row r="353" spans="1:32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</row>
    <row r="354" spans="1:32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</row>
    <row r="355" spans="1:32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</row>
    <row r="356" spans="1:32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</row>
    <row r="357" spans="1:32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</row>
    <row r="358" spans="1:32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</row>
    <row r="359" spans="1:32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</row>
    <row r="360" spans="1:32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</row>
    <row r="361" spans="1:32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</row>
    <row r="362" spans="1:32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</row>
    <row r="363" spans="1:32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</row>
    <row r="364" spans="1:32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</row>
    <row r="365" spans="1:32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</row>
    <row r="366" spans="1:32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</row>
    <row r="367" spans="1:32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</row>
    <row r="368" spans="1:32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</row>
    <row r="369" spans="1:32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</row>
    <row r="370" spans="1:32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</row>
    <row r="371" spans="1:32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</row>
    <row r="372" spans="1:32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</row>
    <row r="373" spans="1:32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</row>
    <row r="374" spans="1:32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</row>
    <row r="375" spans="1:32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</row>
    <row r="376" spans="1:32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</row>
    <row r="377" spans="1:32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</row>
    <row r="378" spans="1:32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</row>
    <row r="379" spans="1:32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</row>
    <row r="380" spans="1:32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</row>
    <row r="381" spans="1:32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</row>
    <row r="382" spans="1:32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</row>
    <row r="383" spans="1:32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</row>
    <row r="384" spans="1:32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</row>
    <row r="385" spans="1:32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</row>
    <row r="386" spans="1:32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</row>
    <row r="387" spans="1:32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</row>
    <row r="388" spans="1:32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</row>
    <row r="389" spans="1:32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</row>
    <row r="390" spans="1:32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</row>
    <row r="391" spans="1:32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</row>
    <row r="392" spans="1:32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</row>
    <row r="393" spans="1:32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</row>
    <row r="394" spans="1:32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</row>
    <row r="395" spans="1:32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</row>
    <row r="396" spans="1:32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</row>
    <row r="397" spans="1:32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</row>
    <row r="398" spans="1:32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</row>
    <row r="399" spans="1:32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</row>
    <row r="400" spans="1:32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</row>
    <row r="401" spans="1:32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</row>
    <row r="402" spans="1:32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</row>
    <row r="403" spans="1:32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</row>
    <row r="404" spans="1:32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</row>
    <row r="405" spans="1:32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</row>
    <row r="406" spans="1:32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</row>
    <row r="407" spans="1:32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</row>
    <row r="408" spans="1:32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</row>
    <row r="409" spans="1:32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</row>
    <row r="410" spans="1:32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</row>
    <row r="411" spans="1:32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</row>
    <row r="412" spans="1:32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</row>
    <row r="413" spans="1:32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</row>
    <row r="414" spans="1:32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</row>
    <row r="415" spans="1:32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</row>
    <row r="416" spans="1:32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</row>
    <row r="417" spans="1:32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</row>
    <row r="418" spans="1:32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</row>
    <row r="419" spans="1:32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</row>
    <row r="420" spans="1:32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</row>
    <row r="421" spans="1:32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</row>
    <row r="422" spans="1:32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</row>
    <row r="423" spans="1:32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</row>
    <row r="424" spans="1:32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</row>
    <row r="425" spans="1:32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</row>
    <row r="426" spans="1:32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</row>
    <row r="427" spans="1:32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</row>
    <row r="428" spans="1:32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</row>
    <row r="429" spans="1:32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</row>
    <row r="430" spans="1:32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</row>
    <row r="431" spans="1:32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</row>
    <row r="432" spans="1:32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</row>
    <row r="433" spans="1:32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</row>
    <row r="434" spans="1:32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</row>
    <row r="435" spans="1:32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</row>
    <row r="436" spans="1:32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</row>
    <row r="437" spans="1:32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</row>
    <row r="438" spans="1:32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</row>
    <row r="439" spans="1:32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</row>
    <row r="440" spans="1:32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</row>
    <row r="441" spans="1:32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</row>
    <row r="442" spans="1:32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</row>
    <row r="443" spans="1:32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</row>
    <row r="444" spans="1:32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</row>
    <row r="445" spans="1:32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</row>
    <row r="446" spans="1:32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</row>
    <row r="447" spans="1:32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</row>
    <row r="448" spans="1:32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</row>
    <row r="449" spans="1:32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</row>
    <row r="450" spans="1:32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</row>
    <row r="451" spans="1:32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</row>
    <row r="452" spans="1:32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</row>
    <row r="453" spans="1:32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</row>
    <row r="454" spans="1:32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</row>
    <row r="455" spans="1:32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</row>
    <row r="456" spans="1:32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</row>
    <row r="457" spans="1:32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</row>
    <row r="458" spans="1:32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</row>
    <row r="459" spans="1:32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</row>
    <row r="460" spans="1:32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</row>
    <row r="461" spans="1:32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</row>
    <row r="462" spans="1:32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</row>
    <row r="463" spans="1:32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</row>
    <row r="464" spans="1:32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</row>
    <row r="465" spans="1:32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</row>
    <row r="466" spans="1:32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</row>
    <row r="467" spans="1:32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</row>
    <row r="468" spans="1:32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</row>
    <row r="469" spans="1:32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</row>
    <row r="470" spans="1:32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</row>
    <row r="471" spans="1:32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</row>
    <row r="472" spans="1:32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</row>
    <row r="473" spans="1:32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</row>
    <row r="474" spans="1:32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</row>
    <row r="475" spans="1:32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</row>
    <row r="476" spans="1:32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</row>
    <row r="477" spans="1:32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</row>
    <row r="478" spans="1:32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</row>
    <row r="479" spans="1:32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</row>
    <row r="480" spans="1:32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</row>
    <row r="481" spans="1:32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</row>
    <row r="482" spans="1:32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</row>
    <row r="483" spans="1:32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</row>
    <row r="484" spans="1:32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</row>
    <row r="485" spans="1:32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</row>
    <row r="486" spans="1:32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</row>
    <row r="487" spans="1:32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</row>
    <row r="488" spans="1:32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</row>
    <row r="489" spans="1:32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</row>
    <row r="490" spans="1:32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</row>
    <row r="491" spans="1:32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</row>
    <row r="492" spans="1:32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</row>
    <row r="493" spans="1:32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</row>
    <row r="494" spans="1:32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</row>
    <row r="495" spans="1:32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</row>
    <row r="496" spans="1:32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</row>
    <row r="497" spans="1:32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</row>
    <row r="498" spans="1:32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</row>
    <row r="499" spans="1:32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</row>
    <row r="500" spans="1:32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</row>
    <row r="501" spans="1:32" x14ac:dyDescent="0.3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</row>
    <row r="502" spans="1:32" x14ac:dyDescent="0.3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</row>
    <row r="503" spans="1:32" x14ac:dyDescent="0.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</row>
    <row r="504" spans="1:32" x14ac:dyDescent="0.3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</row>
    <row r="505" spans="1:32" x14ac:dyDescent="0.3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</row>
    <row r="506" spans="1:32" x14ac:dyDescent="0.3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</row>
    <row r="507" spans="1:32" x14ac:dyDescent="0.3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</row>
    <row r="508" spans="1:32" x14ac:dyDescent="0.3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</row>
    <row r="509" spans="1:32" x14ac:dyDescent="0.3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</row>
    <row r="510" spans="1:32" x14ac:dyDescent="0.3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</row>
    <row r="511" spans="1:32" x14ac:dyDescent="0.3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</row>
    <row r="512" spans="1:32" x14ac:dyDescent="0.3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</row>
    <row r="513" spans="1:32" x14ac:dyDescent="0.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</row>
    <row r="514" spans="1:32" x14ac:dyDescent="0.3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</row>
    <row r="515" spans="1:32" x14ac:dyDescent="0.3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</row>
    <row r="516" spans="1:32" x14ac:dyDescent="0.3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</row>
    <row r="517" spans="1:32" x14ac:dyDescent="0.3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</row>
    <row r="518" spans="1:32" x14ac:dyDescent="0.3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</row>
    <row r="519" spans="1:32" x14ac:dyDescent="0.3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</row>
    <row r="520" spans="1:32" x14ac:dyDescent="0.3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</row>
    <row r="521" spans="1:32" x14ac:dyDescent="0.3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</row>
    <row r="522" spans="1:32" x14ac:dyDescent="0.3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</row>
    <row r="523" spans="1:32" x14ac:dyDescent="0.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</row>
    <row r="524" spans="1:32" x14ac:dyDescent="0.3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</row>
    <row r="525" spans="1:32" x14ac:dyDescent="0.3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</row>
    <row r="526" spans="1:32" x14ac:dyDescent="0.3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</row>
    <row r="527" spans="1:32" x14ac:dyDescent="0.3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</row>
    <row r="528" spans="1:32" x14ac:dyDescent="0.3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</row>
    <row r="529" spans="1:32" x14ac:dyDescent="0.3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</row>
    <row r="530" spans="1:32" x14ac:dyDescent="0.3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</row>
    <row r="531" spans="1:32" x14ac:dyDescent="0.3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</row>
    <row r="532" spans="1:32" x14ac:dyDescent="0.3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</row>
    <row r="533" spans="1:32" x14ac:dyDescent="0.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</row>
    <row r="534" spans="1:32" x14ac:dyDescent="0.3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</row>
    <row r="535" spans="1:32" x14ac:dyDescent="0.3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</row>
    <row r="536" spans="1:32" x14ac:dyDescent="0.3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</row>
    <row r="537" spans="1:32" x14ac:dyDescent="0.3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</row>
    <row r="538" spans="1:32" x14ac:dyDescent="0.3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</row>
    <row r="539" spans="1:32" x14ac:dyDescent="0.3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</row>
    <row r="540" spans="1:32" x14ac:dyDescent="0.3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</row>
    <row r="541" spans="1:32" x14ac:dyDescent="0.3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</row>
    <row r="542" spans="1:32" x14ac:dyDescent="0.3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</row>
    <row r="543" spans="1:32" x14ac:dyDescent="0.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</row>
    <row r="544" spans="1:32" x14ac:dyDescent="0.3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</row>
    <row r="545" spans="1:32" x14ac:dyDescent="0.3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</row>
    <row r="546" spans="1:32" x14ac:dyDescent="0.3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</row>
    <row r="547" spans="1:32" x14ac:dyDescent="0.3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</row>
    <row r="548" spans="1:32" x14ac:dyDescent="0.3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</row>
    <row r="549" spans="1:32" x14ac:dyDescent="0.3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</row>
    <row r="550" spans="1:32" x14ac:dyDescent="0.3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</row>
    <row r="551" spans="1:32" x14ac:dyDescent="0.3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</row>
    <row r="552" spans="1:32" x14ac:dyDescent="0.3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</row>
    <row r="553" spans="1:32" x14ac:dyDescent="0.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</row>
    <row r="554" spans="1:32" x14ac:dyDescent="0.3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</row>
    <row r="555" spans="1:32" x14ac:dyDescent="0.3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</row>
    <row r="556" spans="1:32" x14ac:dyDescent="0.3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</row>
    <row r="557" spans="1:32" x14ac:dyDescent="0.3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</row>
    <row r="558" spans="1:32" x14ac:dyDescent="0.3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</row>
    <row r="559" spans="1:32" x14ac:dyDescent="0.3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</row>
    <row r="560" spans="1:32" x14ac:dyDescent="0.3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</row>
    <row r="561" spans="1:32" x14ac:dyDescent="0.3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</row>
    <row r="562" spans="1:32" x14ac:dyDescent="0.3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</row>
    <row r="563" spans="1:32" x14ac:dyDescent="0.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</row>
    <row r="564" spans="1:32" x14ac:dyDescent="0.3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</row>
    <row r="565" spans="1:32" x14ac:dyDescent="0.3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</row>
    <row r="566" spans="1:32" x14ac:dyDescent="0.3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</row>
    <row r="567" spans="1:32" x14ac:dyDescent="0.3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</row>
    <row r="568" spans="1:32" x14ac:dyDescent="0.3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</row>
    <row r="569" spans="1:32" x14ac:dyDescent="0.3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</row>
    <row r="570" spans="1:32" x14ac:dyDescent="0.3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</row>
    <row r="571" spans="1:32" x14ac:dyDescent="0.3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</row>
    <row r="572" spans="1:32" x14ac:dyDescent="0.3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</row>
    <row r="573" spans="1:32" x14ac:dyDescent="0.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</row>
    <row r="574" spans="1:32" x14ac:dyDescent="0.3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</row>
    <row r="575" spans="1:32" x14ac:dyDescent="0.3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</row>
    <row r="576" spans="1:32" x14ac:dyDescent="0.3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</row>
    <row r="577" spans="1:32" x14ac:dyDescent="0.3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</row>
    <row r="578" spans="1:32" x14ac:dyDescent="0.3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</row>
    <row r="579" spans="1:32" x14ac:dyDescent="0.3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</row>
    <row r="580" spans="1:32" x14ac:dyDescent="0.3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</row>
    <row r="581" spans="1:32" x14ac:dyDescent="0.3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</row>
    <row r="582" spans="1:32" x14ac:dyDescent="0.3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</row>
    <row r="583" spans="1:32" x14ac:dyDescent="0.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</row>
    <row r="584" spans="1:32" x14ac:dyDescent="0.3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</row>
    <row r="585" spans="1:32" x14ac:dyDescent="0.3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</row>
    <row r="586" spans="1:32" x14ac:dyDescent="0.3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</row>
    <row r="587" spans="1:32" x14ac:dyDescent="0.3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</row>
    <row r="588" spans="1:32" x14ac:dyDescent="0.3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</row>
    <row r="589" spans="1:32" x14ac:dyDescent="0.3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</row>
    <row r="590" spans="1:32" x14ac:dyDescent="0.3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</row>
    <row r="591" spans="1:32" x14ac:dyDescent="0.3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</row>
    <row r="592" spans="1:32" x14ac:dyDescent="0.3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</row>
    <row r="593" spans="1:32" x14ac:dyDescent="0.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</row>
    <row r="594" spans="1:32" x14ac:dyDescent="0.3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</row>
    <row r="595" spans="1:32" x14ac:dyDescent="0.3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</row>
    <row r="596" spans="1:32" x14ac:dyDescent="0.3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</row>
    <row r="597" spans="1:32" x14ac:dyDescent="0.3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</row>
    <row r="598" spans="1:32" x14ac:dyDescent="0.3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</row>
    <row r="599" spans="1:32" x14ac:dyDescent="0.3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</row>
    <row r="600" spans="1:32" x14ac:dyDescent="0.3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</row>
    <row r="601" spans="1:32" x14ac:dyDescent="0.3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</row>
    <row r="602" spans="1:32" x14ac:dyDescent="0.3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</row>
    <row r="603" spans="1:32" x14ac:dyDescent="0.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</row>
    <row r="604" spans="1:32" x14ac:dyDescent="0.3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</row>
    <row r="605" spans="1:32" x14ac:dyDescent="0.3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</row>
    <row r="606" spans="1:32" x14ac:dyDescent="0.3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</row>
    <row r="607" spans="1:32" x14ac:dyDescent="0.3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</row>
    <row r="608" spans="1:32" x14ac:dyDescent="0.3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</row>
    <row r="609" spans="1:32" x14ac:dyDescent="0.3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</row>
    <row r="610" spans="1:32" x14ac:dyDescent="0.3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</row>
    <row r="611" spans="1:32" x14ac:dyDescent="0.3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</row>
    <row r="612" spans="1:32" x14ac:dyDescent="0.3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</row>
    <row r="613" spans="1:32" x14ac:dyDescent="0.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</row>
    <row r="614" spans="1:32" x14ac:dyDescent="0.3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</row>
    <row r="615" spans="1:32" x14ac:dyDescent="0.3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</row>
    <row r="616" spans="1:32" x14ac:dyDescent="0.3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</row>
    <row r="617" spans="1:32" x14ac:dyDescent="0.3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</row>
    <row r="618" spans="1:32" x14ac:dyDescent="0.3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</row>
    <row r="619" spans="1:32" x14ac:dyDescent="0.3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</row>
    <row r="620" spans="1:32" x14ac:dyDescent="0.3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</row>
    <row r="621" spans="1:32" x14ac:dyDescent="0.3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</row>
    <row r="622" spans="1:32" x14ac:dyDescent="0.3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</row>
    <row r="623" spans="1:32" x14ac:dyDescent="0.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</row>
    <row r="624" spans="1:32" x14ac:dyDescent="0.3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</row>
    <row r="625" spans="1:32" x14ac:dyDescent="0.3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</row>
    <row r="626" spans="1:32" x14ac:dyDescent="0.3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</row>
    <row r="627" spans="1:32" x14ac:dyDescent="0.3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</row>
    <row r="628" spans="1:32" x14ac:dyDescent="0.3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</row>
    <row r="629" spans="1:32" x14ac:dyDescent="0.3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</row>
    <row r="630" spans="1:32" x14ac:dyDescent="0.3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</row>
    <row r="631" spans="1:32" x14ac:dyDescent="0.3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</row>
    <row r="632" spans="1:32" x14ac:dyDescent="0.3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</row>
    <row r="633" spans="1:32" x14ac:dyDescent="0.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</row>
    <row r="634" spans="1:32" x14ac:dyDescent="0.3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</row>
    <row r="635" spans="1:32" x14ac:dyDescent="0.3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</row>
    <row r="636" spans="1:32" x14ac:dyDescent="0.3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</row>
    <row r="637" spans="1:32" x14ac:dyDescent="0.3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</row>
    <row r="638" spans="1:32" x14ac:dyDescent="0.3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</row>
    <row r="639" spans="1:32" x14ac:dyDescent="0.3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</row>
    <row r="640" spans="1:32" x14ac:dyDescent="0.3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</row>
    <row r="641" spans="1:32" x14ac:dyDescent="0.3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</row>
    <row r="642" spans="1:32" x14ac:dyDescent="0.3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</row>
    <row r="643" spans="1:32" x14ac:dyDescent="0.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</row>
    <row r="644" spans="1:32" x14ac:dyDescent="0.3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</row>
    <row r="645" spans="1:32" x14ac:dyDescent="0.3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</row>
    <row r="646" spans="1:32" x14ac:dyDescent="0.3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</row>
    <row r="647" spans="1:32" x14ac:dyDescent="0.3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</row>
    <row r="648" spans="1:32" x14ac:dyDescent="0.3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</row>
    <row r="649" spans="1:32" x14ac:dyDescent="0.3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</row>
    <row r="650" spans="1:32" x14ac:dyDescent="0.3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</row>
    <row r="651" spans="1:32" x14ac:dyDescent="0.3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</row>
    <row r="652" spans="1:32" x14ac:dyDescent="0.3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</row>
    <row r="653" spans="1:32" x14ac:dyDescent="0.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</row>
    <row r="654" spans="1:32" x14ac:dyDescent="0.3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</row>
    <row r="655" spans="1:32" x14ac:dyDescent="0.3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</row>
    <row r="656" spans="1:32" x14ac:dyDescent="0.3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</row>
    <row r="657" spans="1:32" x14ac:dyDescent="0.3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</row>
    <row r="658" spans="1:32" x14ac:dyDescent="0.3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</row>
    <row r="659" spans="1:32" x14ac:dyDescent="0.3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</row>
    <row r="660" spans="1:32" x14ac:dyDescent="0.3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</row>
    <row r="661" spans="1:32" x14ac:dyDescent="0.3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</row>
    <row r="662" spans="1:32" x14ac:dyDescent="0.3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</row>
    <row r="663" spans="1:32" x14ac:dyDescent="0.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</row>
    <row r="664" spans="1:32" x14ac:dyDescent="0.3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</row>
    <row r="665" spans="1:32" x14ac:dyDescent="0.3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</row>
    <row r="666" spans="1:32" x14ac:dyDescent="0.3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</row>
    <row r="667" spans="1:32" x14ac:dyDescent="0.3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</row>
    <row r="668" spans="1:32" x14ac:dyDescent="0.3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</row>
    <row r="669" spans="1:32" x14ac:dyDescent="0.3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</row>
    <row r="670" spans="1:32" x14ac:dyDescent="0.3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</row>
    <row r="671" spans="1:32" x14ac:dyDescent="0.3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</row>
    <row r="672" spans="1:32" x14ac:dyDescent="0.3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</row>
    <row r="673" spans="1:32" x14ac:dyDescent="0.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</row>
    <row r="674" spans="1:32" x14ac:dyDescent="0.3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</row>
    <row r="675" spans="1:32" x14ac:dyDescent="0.3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</row>
    <row r="676" spans="1:32" x14ac:dyDescent="0.3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</row>
    <row r="677" spans="1:32" x14ac:dyDescent="0.3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</row>
    <row r="678" spans="1:32" x14ac:dyDescent="0.3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</row>
    <row r="679" spans="1:32" x14ac:dyDescent="0.3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</row>
    <row r="680" spans="1:32" x14ac:dyDescent="0.3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</row>
    <row r="681" spans="1:32" x14ac:dyDescent="0.3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</row>
    <row r="682" spans="1:32" x14ac:dyDescent="0.3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</row>
    <row r="683" spans="1:32" x14ac:dyDescent="0.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</row>
    <row r="684" spans="1:32" x14ac:dyDescent="0.3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</row>
    <row r="685" spans="1:32" x14ac:dyDescent="0.3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</row>
    <row r="686" spans="1:32" x14ac:dyDescent="0.3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</row>
    <row r="687" spans="1:32" x14ac:dyDescent="0.3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</row>
    <row r="688" spans="1:32" x14ac:dyDescent="0.3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</row>
    <row r="689" spans="1:32" x14ac:dyDescent="0.3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</row>
    <row r="690" spans="1:32" x14ac:dyDescent="0.3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</row>
    <row r="691" spans="1:32" x14ac:dyDescent="0.3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</row>
    <row r="692" spans="1:32" x14ac:dyDescent="0.3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</row>
    <row r="693" spans="1:32" x14ac:dyDescent="0.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</row>
    <row r="694" spans="1:32" x14ac:dyDescent="0.3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</row>
    <row r="695" spans="1:32" x14ac:dyDescent="0.3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</row>
    <row r="696" spans="1:32" x14ac:dyDescent="0.3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</row>
    <row r="697" spans="1:32" x14ac:dyDescent="0.3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</row>
    <row r="698" spans="1:32" x14ac:dyDescent="0.3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</row>
    <row r="699" spans="1:32" x14ac:dyDescent="0.3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</row>
    <row r="700" spans="1:32" x14ac:dyDescent="0.3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</row>
    <row r="701" spans="1:32" x14ac:dyDescent="0.3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</row>
    <row r="702" spans="1:32" x14ac:dyDescent="0.3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</row>
    <row r="703" spans="1:32" x14ac:dyDescent="0.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</row>
    <row r="704" spans="1:32" x14ac:dyDescent="0.3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</row>
    <row r="705" spans="1:32" x14ac:dyDescent="0.3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</row>
    <row r="706" spans="1:32" x14ac:dyDescent="0.3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</row>
    <row r="707" spans="1:32" x14ac:dyDescent="0.3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</row>
    <row r="708" spans="1:32" x14ac:dyDescent="0.3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</row>
    <row r="709" spans="1:32" x14ac:dyDescent="0.3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</row>
    <row r="710" spans="1:32" x14ac:dyDescent="0.3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</row>
    <row r="711" spans="1:32" x14ac:dyDescent="0.3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</row>
    <row r="712" spans="1:32" x14ac:dyDescent="0.3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</row>
    <row r="713" spans="1:32" x14ac:dyDescent="0.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</row>
    <row r="714" spans="1:32" x14ac:dyDescent="0.3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</row>
    <row r="715" spans="1:32" x14ac:dyDescent="0.3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</row>
    <row r="716" spans="1:32" x14ac:dyDescent="0.3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</row>
    <row r="717" spans="1:32" x14ac:dyDescent="0.3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</row>
    <row r="718" spans="1:32" x14ac:dyDescent="0.3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</row>
    <row r="719" spans="1:32" x14ac:dyDescent="0.3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</row>
    <row r="720" spans="1:32" x14ac:dyDescent="0.3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</row>
    <row r="721" spans="1:32" x14ac:dyDescent="0.3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</row>
    <row r="722" spans="1:32" x14ac:dyDescent="0.3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</row>
    <row r="723" spans="1:32" x14ac:dyDescent="0.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</row>
    <row r="724" spans="1:32" x14ac:dyDescent="0.3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</row>
    <row r="725" spans="1:32" x14ac:dyDescent="0.3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</row>
    <row r="726" spans="1:32" x14ac:dyDescent="0.3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</row>
    <row r="727" spans="1:32" x14ac:dyDescent="0.3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</row>
    <row r="728" spans="1:32" x14ac:dyDescent="0.3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</row>
    <row r="729" spans="1:32" x14ac:dyDescent="0.3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</row>
    <row r="730" spans="1:32" x14ac:dyDescent="0.3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</row>
    <row r="731" spans="1:32" x14ac:dyDescent="0.3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</row>
    <row r="732" spans="1:32" x14ac:dyDescent="0.3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</row>
    <row r="733" spans="1:32" x14ac:dyDescent="0.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</row>
    <row r="734" spans="1:32" x14ac:dyDescent="0.3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</row>
    <row r="735" spans="1:32" x14ac:dyDescent="0.3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</row>
    <row r="736" spans="1:32" x14ac:dyDescent="0.3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</row>
    <row r="737" spans="1:32" x14ac:dyDescent="0.3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</row>
    <row r="738" spans="1:32" x14ac:dyDescent="0.3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</row>
    <row r="739" spans="1:32" x14ac:dyDescent="0.3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</row>
    <row r="740" spans="1:32" x14ac:dyDescent="0.3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</row>
    <row r="741" spans="1:32" x14ac:dyDescent="0.3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</row>
    <row r="742" spans="1:32" x14ac:dyDescent="0.3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</row>
    <row r="743" spans="1:32" x14ac:dyDescent="0.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</row>
    <row r="744" spans="1:32" x14ac:dyDescent="0.3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</row>
    <row r="745" spans="1:32" x14ac:dyDescent="0.3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</row>
    <row r="746" spans="1:32" x14ac:dyDescent="0.3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</row>
    <row r="747" spans="1:32" x14ac:dyDescent="0.3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</row>
    <row r="748" spans="1:32" x14ac:dyDescent="0.3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</row>
    <row r="749" spans="1:32" x14ac:dyDescent="0.3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</row>
    <row r="750" spans="1:32" x14ac:dyDescent="0.3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</row>
    <row r="751" spans="1:32" x14ac:dyDescent="0.3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</row>
    <row r="752" spans="1:32" x14ac:dyDescent="0.3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</row>
    <row r="753" spans="1:32" x14ac:dyDescent="0.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</row>
    <row r="754" spans="1:32" x14ac:dyDescent="0.3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</row>
    <row r="755" spans="1:32" x14ac:dyDescent="0.3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</row>
    <row r="756" spans="1:32" x14ac:dyDescent="0.3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</row>
    <row r="757" spans="1:32" x14ac:dyDescent="0.3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</row>
    <row r="758" spans="1:32" x14ac:dyDescent="0.3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</row>
    <row r="759" spans="1:32" x14ac:dyDescent="0.3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</row>
    <row r="760" spans="1:32" x14ac:dyDescent="0.3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</row>
    <row r="761" spans="1:32" x14ac:dyDescent="0.3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</row>
    <row r="762" spans="1:32" x14ac:dyDescent="0.3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</row>
    <row r="763" spans="1:32" x14ac:dyDescent="0.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</row>
    <row r="764" spans="1:32" x14ac:dyDescent="0.3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</row>
    <row r="765" spans="1:32" x14ac:dyDescent="0.3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</row>
    <row r="766" spans="1:32" x14ac:dyDescent="0.3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</row>
    <row r="767" spans="1:32" x14ac:dyDescent="0.3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</row>
    <row r="768" spans="1:32" x14ac:dyDescent="0.3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</row>
    <row r="769" spans="1:32" x14ac:dyDescent="0.3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</row>
    <row r="770" spans="1:32" x14ac:dyDescent="0.3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</row>
    <row r="771" spans="1:32" x14ac:dyDescent="0.3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</row>
    <row r="772" spans="1:32" x14ac:dyDescent="0.3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</row>
    <row r="773" spans="1:32" x14ac:dyDescent="0.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</row>
    <row r="774" spans="1:32" x14ac:dyDescent="0.3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</row>
    <row r="775" spans="1:32" x14ac:dyDescent="0.3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</row>
    <row r="776" spans="1:32" x14ac:dyDescent="0.3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</row>
    <row r="777" spans="1:32" x14ac:dyDescent="0.3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</row>
    <row r="778" spans="1:32" x14ac:dyDescent="0.3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</row>
    <row r="779" spans="1:32" x14ac:dyDescent="0.3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</row>
    <row r="780" spans="1:32" x14ac:dyDescent="0.3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</row>
    <row r="781" spans="1:32" x14ac:dyDescent="0.3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</row>
    <row r="782" spans="1:32" x14ac:dyDescent="0.3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</row>
    <row r="783" spans="1:32" x14ac:dyDescent="0.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</row>
    <row r="784" spans="1:32" x14ac:dyDescent="0.3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</row>
    <row r="785" spans="1:32" x14ac:dyDescent="0.3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</row>
    <row r="786" spans="1:32" x14ac:dyDescent="0.3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</row>
    <row r="787" spans="1:32" x14ac:dyDescent="0.3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</row>
    <row r="788" spans="1:32" x14ac:dyDescent="0.3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</row>
    <row r="789" spans="1:32" x14ac:dyDescent="0.3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</row>
    <row r="790" spans="1:32" x14ac:dyDescent="0.3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</row>
    <row r="791" spans="1:32" x14ac:dyDescent="0.3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</row>
    <row r="792" spans="1:32" x14ac:dyDescent="0.3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</row>
    <row r="793" spans="1:32" x14ac:dyDescent="0.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</row>
    <row r="794" spans="1:32" x14ac:dyDescent="0.3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</row>
    <row r="795" spans="1:32" x14ac:dyDescent="0.3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</row>
    <row r="796" spans="1:32" x14ac:dyDescent="0.3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</row>
    <row r="797" spans="1:32" x14ac:dyDescent="0.3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</row>
    <row r="798" spans="1:32" x14ac:dyDescent="0.3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</row>
    <row r="799" spans="1:32" x14ac:dyDescent="0.3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</row>
    <row r="800" spans="1:32" x14ac:dyDescent="0.3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</row>
    <row r="801" spans="1:32" x14ac:dyDescent="0.3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</row>
    <row r="802" spans="1:32" x14ac:dyDescent="0.3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</row>
    <row r="803" spans="1:32" x14ac:dyDescent="0.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</row>
    <row r="804" spans="1:32" x14ac:dyDescent="0.3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</row>
    <row r="805" spans="1:32" x14ac:dyDescent="0.3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</row>
    <row r="806" spans="1:32" x14ac:dyDescent="0.3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</row>
    <row r="807" spans="1:32" x14ac:dyDescent="0.3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</row>
    <row r="808" spans="1:32" x14ac:dyDescent="0.3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</row>
    <row r="809" spans="1:32" x14ac:dyDescent="0.3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</row>
    <row r="810" spans="1:32" x14ac:dyDescent="0.3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</row>
    <row r="811" spans="1:32" x14ac:dyDescent="0.3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</row>
    <row r="812" spans="1:32" x14ac:dyDescent="0.3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</row>
    <row r="813" spans="1:32" x14ac:dyDescent="0.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</row>
    <row r="814" spans="1:32" x14ac:dyDescent="0.3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</row>
    <row r="815" spans="1:32" x14ac:dyDescent="0.3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</row>
    <row r="816" spans="1:32" x14ac:dyDescent="0.3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</row>
    <row r="817" spans="1:32" x14ac:dyDescent="0.3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</row>
    <row r="818" spans="1:32" x14ac:dyDescent="0.3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</row>
    <row r="819" spans="1:32" x14ac:dyDescent="0.3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</row>
    <row r="820" spans="1:32" x14ac:dyDescent="0.3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</row>
    <row r="821" spans="1:32" x14ac:dyDescent="0.3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</row>
    <row r="822" spans="1:32" x14ac:dyDescent="0.3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</row>
    <row r="823" spans="1:32" x14ac:dyDescent="0.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</row>
    <row r="824" spans="1:32" x14ac:dyDescent="0.3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</row>
    <row r="825" spans="1:32" x14ac:dyDescent="0.3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</row>
    <row r="826" spans="1:32" x14ac:dyDescent="0.3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</row>
    <row r="827" spans="1:32" x14ac:dyDescent="0.3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</row>
    <row r="828" spans="1:32" x14ac:dyDescent="0.3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</row>
    <row r="829" spans="1:32" x14ac:dyDescent="0.3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</row>
    <row r="830" spans="1:32" x14ac:dyDescent="0.3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</row>
    <row r="831" spans="1:32" x14ac:dyDescent="0.3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</row>
    <row r="832" spans="1:32" x14ac:dyDescent="0.3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</row>
    <row r="833" spans="1:32" x14ac:dyDescent="0.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</row>
    <row r="834" spans="1:32" x14ac:dyDescent="0.3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</row>
    <row r="835" spans="1:32" x14ac:dyDescent="0.3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</row>
    <row r="836" spans="1:32" x14ac:dyDescent="0.3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</row>
    <row r="837" spans="1:32" x14ac:dyDescent="0.3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</row>
    <row r="838" spans="1:32" x14ac:dyDescent="0.3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</row>
    <row r="839" spans="1:32" x14ac:dyDescent="0.3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</row>
    <row r="840" spans="1:32" x14ac:dyDescent="0.3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</row>
    <row r="841" spans="1:32" x14ac:dyDescent="0.3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</row>
    <row r="842" spans="1:32" x14ac:dyDescent="0.3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</row>
    <row r="843" spans="1:32" x14ac:dyDescent="0.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</row>
    <row r="844" spans="1:32" x14ac:dyDescent="0.3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</row>
    <row r="845" spans="1:32" x14ac:dyDescent="0.3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</row>
    <row r="846" spans="1:32" x14ac:dyDescent="0.3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</row>
    <row r="847" spans="1:32" x14ac:dyDescent="0.3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</row>
    <row r="848" spans="1:32" x14ac:dyDescent="0.3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</row>
    <row r="849" spans="1:32" x14ac:dyDescent="0.3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</row>
    <row r="850" spans="1:32" x14ac:dyDescent="0.3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</row>
    <row r="851" spans="1:32" x14ac:dyDescent="0.3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</row>
    <row r="852" spans="1:32" x14ac:dyDescent="0.3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</row>
    <row r="853" spans="1:32" x14ac:dyDescent="0.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</row>
    <row r="854" spans="1:32" x14ac:dyDescent="0.3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</row>
    <row r="855" spans="1:32" x14ac:dyDescent="0.3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</row>
    <row r="856" spans="1:32" x14ac:dyDescent="0.3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</row>
    <row r="857" spans="1:32" x14ac:dyDescent="0.3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</row>
    <row r="858" spans="1:32" x14ac:dyDescent="0.3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</row>
    <row r="859" spans="1:32" x14ac:dyDescent="0.3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</row>
    <row r="860" spans="1:32" x14ac:dyDescent="0.3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</row>
    <row r="861" spans="1:32" x14ac:dyDescent="0.3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</row>
    <row r="862" spans="1:32" x14ac:dyDescent="0.3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</row>
    <row r="863" spans="1:32" x14ac:dyDescent="0.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</row>
    <row r="864" spans="1:32" x14ac:dyDescent="0.3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</row>
    <row r="865" spans="1:32" x14ac:dyDescent="0.3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</row>
    <row r="866" spans="1:32" x14ac:dyDescent="0.3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</row>
    <row r="867" spans="1:32" x14ac:dyDescent="0.3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</row>
    <row r="868" spans="1:32" x14ac:dyDescent="0.3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</row>
    <row r="869" spans="1:32" x14ac:dyDescent="0.3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</row>
    <row r="870" spans="1:32" x14ac:dyDescent="0.3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</row>
    <row r="871" spans="1:32" x14ac:dyDescent="0.3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</row>
    <row r="872" spans="1:32" x14ac:dyDescent="0.3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</row>
    <row r="873" spans="1:32" x14ac:dyDescent="0.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</row>
    <row r="874" spans="1:32" x14ac:dyDescent="0.3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</row>
    <row r="875" spans="1:32" x14ac:dyDescent="0.3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</row>
    <row r="876" spans="1:32" x14ac:dyDescent="0.3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</row>
    <row r="877" spans="1:32" x14ac:dyDescent="0.3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</row>
    <row r="878" spans="1:32" x14ac:dyDescent="0.3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</row>
    <row r="879" spans="1:32" x14ac:dyDescent="0.3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</row>
    <row r="880" spans="1:32" x14ac:dyDescent="0.3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</row>
    <row r="881" spans="1:32" x14ac:dyDescent="0.3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</row>
    <row r="882" spans="1:32" x14ac:dyDescent="0.3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</row>
    <row r="883" spans="1:32" x14ac:dyDescent="0.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</row>
    <row r="884" spans="1:32" x14ac:dyDescent="0.3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</row>
    <row r="885" spans="1:32" x14ac:dyDescent="0.3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</row>
    <row r="886" spans="1:32" x14ac:dyDescent="0.3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</row>
    <row r="887" spans="1:32" x14ac:dyDescent="0.3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</row>
    <row r="888" spans="1:32" x14ac:dyDescent="0.3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</row>
    <row r="889" spans="1:32" x14ac:dyDescent="0.3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</row>
    <row r="890" spans="1:32" x14ac:dyDescent="0.3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</row>
    <row r="891" spans="1:32" x14ac:dyDescent="0.3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</row>
    <row r="892" spans="1:32" x14ac:dyDescent="0.3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</row>
    <row r="893" spans="1:32" x14ac:dyDescent="0.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</row>
    <row r="894" spans="1:32" x14ac:dyDescent="0.3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</row>
    <row r="895" spans="1:32" x14ac:dyDescent="0.3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</row>
    <row r="896" spans="1:32" x14ac:dyDescent="0.3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</row>
    <row r="897" spans="1:32" x14ac:dyDescent="0.3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</row>
    <row r="898" spans="1:32" x14ac:dyDescent="0.3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</row>
    <row r="899" spans="1:32" x14ac:dyDescent="0.3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</row>
    <row r="900" spans="1:32" x14ac:dyDescent="0.3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</row>
    <row r="901" spans="1:32" x14ac:dyDescent="0.3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</row>
    <row r="902" spans="1:32" x14ac:dyDescent="0.3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</row>
    <row r="903" spans="1:32" x14ac:dyDescent="0.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</row>
    <row r="904" spans="1:32" x14ac:dyDescent="0.3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</row>
    <row r="905" spans="1:32" x14ac:dyDescent="0.3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</row>
    <row r="906" spans="1:32" x14ac:dyDescent="0.3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</row>
    <row r="907" spans="1:32" x14ac:dyDescent="0.3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</row>
    <row r="908" spans="1:32" x14ac:dyDescent="0.3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</row>
    <row r="909" spans="1:32" x14ac:dyDescent="0.3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</row>
    <row r="910" spans="1:32" x14ac:dyDescent="0.3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</row>
    <row r="911" spans="1:32" x14ac:dyDescent="0.3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</row>
    <row r="912" spans="1:32" x14ac:dyDescent="0.3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</row>
    <row r="913" spans="1:32" x14ac:dyDescent="0.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</row>
    <row r="914" spans="1:32" x14ac:dyDescent="0.3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</row>
    <row r="915" spans="1:32" x14ac:dyDescent="0.3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</row>
    <row r="916" spans="1:32" x14ac:dyDescent="0.3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</row>
    <row r="917" spans="1:32" x14ac:dyDescent="0.3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</row>
    <row r="918" spans="1:32" x14ac:dyDescent="0.3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</row>
    <row r="919" spans="1:32" x14ac:dyDescent="0.3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</row>
    <row r="920" spans="1:32" x14ac:dyDescent="0.3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</row>
    <row r="921" spans="1:32" x14ac:dyDescent="0.3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</row>
    <row r="922" spans="1:32" x14ac:dyDescent="0.3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</row>
    <row r="923" spans="1:32" x14ac:dyDescent="0.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</row>
    <row r="924" spans="1:32" x14ac:dyDescent="0.3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</row>
    <row r="925" spans="1:32" x14ac:dyDescent="0.3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</row>
    <row r="926" spans="1:32" x14ac:dyDescent="0.3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</row>
    <row r="927" spans="1:32" x14ac:dyDescent="0.3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</row>
    <row r="928" spans="1:32" x14ac:dyDescent="0.3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</row>
    <row r="929" spans="1:32" x14ac:dyDescent="0.3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</row>
    <row r="930" spans="1:32" x14ac:dyDescent="0.3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</row>
    <row r="931" spans="1:32" x14ac:dyDescent="0.3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</row>
    <row r="932" spans="1:32" x14ac:dyDescent="0.3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</row>
    <row r="933" spans="1:32" x14ac:dyDescent="0.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</row>
    <row r="934" spans="1:32" x14ac:dyDescent="0.3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</row>
    <row r="935" spans="1:32" x14ac:dyDescent="0.3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</row>
    <row r="936" spans="1:32" x14ac:dyDescent="0.3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</row>
    <row r="937" spans="1:32" x14ac:dyDescent="0.3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</row>
    <row r="938" spans="1:32" x14ac:dyDescent="0.3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</row>
    <row r="939" spans="1:32" x14ac:dyDescent="0.3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</row>
    <row r="940" spans="1:32" x14ac:dyDescent="0.3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</row>
    <row r="941" spans="1:32" x14ac:dyDescent="0.3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</row>
    <row r="942" spans="1:32" x14ac:dyDescent="0.3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</row>
    <row r="943" spans="1:32" x14ac:dyDescent="0.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</row>
    <row r="944" spans="1:32" x14ac:dyDescent="0.3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</row>
    <row r="945" spans="1:32" x14ac:dyDescent="0.3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</row>
    <row r="946" spans="1:32" x14ac:dyDescent="0.3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</row>
    <row r="947" spans="1:32" x14ac:dyDescent="0.3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</row>
    <row r="948" spans="1:32" x14ac:dyDescent="0.3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</row>
    <row r="949" spans="1:32" x14ac:dyDescent="0.3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</row>
    <row r="950" spans="1:32" x14ac:dyDescent="0.3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</row>
    <row r="951" spans="1:32" x14ac:dyDescent="0.3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</row>
    <row r="952" spans="1:32" x14ac:dyDescent="0.3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</row>
    <row r="953" spans="1:32" x14ac:dyDescent="0.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</row>
    <row r="954" spans="1:32" x14ac:dyDescent="0.3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</row>
    <row r="955" spans="1:32" x14ac:dyDescent="0.3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</row>
    <row r="956" spans="1:32" x14ac:dyDescent="0.3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</row>
    <row r="957" spans="1:32" x14ac:dyDescent="0.3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</row>
    <row r="958" spans="1:32" x14ac:dyDescent="0.3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</row>
    <row r="959" spans="1:32" x14ac:dyDescent="0.3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</row>
    <row r="960" spans="1:32" x14ac:dyDescent="0.3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</row>
    <row r="961" spans="1:32" x14ac:dyDescent="0.3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</row>
    <row r="962" spans="1:32" x14ac:dyDescent="0.3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</row>
    <row r="963" spans="1:32" x14ac:dyDescent="0.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</row>
    <row r="964" spans="1:32" x14ac:dyDescent="0.3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</row>
    <row r="965" spans="1:32" x14ac:dyDescent="0.3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</row>
    <row r="966" spans="1:32" x14ac:dyDescent="0.3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</row>
    <row r="967" spans="1:32" x14ac:dyDescent="0.3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</row>
    <row r="968" spans="1:32" x14ac:dyDescent="0.3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</row>
    <row r="969" spans="1:32" x14ac:dyDescent="0.3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</row>
    <row r="970" spans="1:32" x14ac:dyDescent="0.3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</row>
    <row r="971" spans="1:32" x14ac:dyDescent="0.3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</row>
    <row r="972" spans="1:32" x14ac:dyDescent="0.3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</row>
    <row r="973" spans="1:32" x14ac:dyDescent="0.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</row>
    <row r="974" spans="1:32" x14ac:dyDescent="0.3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</row>
    <row r="975" spans="1:32" x14ac:dyDescent="0.3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</row>
    <row r="976" spans="1:32" x14ac:dyDescent="0.3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</row>
    <row r="977" spans="1:32" x14ac:dyDescent="0.3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</row>
    <row r="978" spans="1:32" x14ac:dyDescent="0.3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</row>
    <row r="979" spans="1:32" x14ac:dyDescent="0.3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</row>
    <row r="980" spans="1:32" x14ac:dyDescent="0.3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</row>
    <row r="981" spans="1:32" x14ac:dyDescent="0.3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</row>
    <row r="982" spans="1:32" x14ac:dyDescent="0.3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</row>
    <row r="983" spans="1:32" x14ac:dyDescent="0.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</row>
    <row r="984" spans="1:32" x14ac:dyDescent="0.3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</row>
    <row r="985" spans="1:32" x14ac:dyDescent="0.3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</row>
    <row r="986" spans="1:32" x14ac:dyDescent="0.3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</row>
    <row r="987" spans="1:32" x14ac:dyDescent="0.3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</row>
    <row r="988" spans="1:32" x14ac:dyDescent="0.3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</row>
    <row r="989" spans="1:32" x14ac:dyDescent="0.3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</row>
    <row r="990" spans="1:32" x14ac:dyDescent="0.3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</row>
    <row r="991" spans="1:32" x14ac:dyDescent="0.3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</row>
    <row r="992" spans="1:32" x14ac:dyDescent="0.3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</row>
    <row r="993" spans="1:32" x14ac:dyDescent="0.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</row>
    <row r="994" spans="1:32" x14ac:dyDescent="0.3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</row>
    <row r="995" spans="1:32" x14ac:dyDescent="0.3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</row>
    <row r="996" spans="1:32" x14ac:dyDescent="0.3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</row>
    <row r="997" spans="1:32" x14ac:dyDescent="0.3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</row>
    <row r="998" spans="1:32" x14ac:dyDescent="0.3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</row>
    <row r="999" spans="1:32" x14ac:dyDescent="0.3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</row>
    <row r="1000" spans="1:32" x14ac:dyDescent="0.3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</row>
    <row r="1001" spans="1:32" x14ac:dyDescent="0.3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</row>
    <row r="1002" spans="1:32" x14ac:dyDescent="0.3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</row>
    <row r="1003" spans="1:32" x14ac:dyDescent="0.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</row>
    <row r="1004" spans="1:32" x14ac:dyDescent="0.3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</row>
    <row r="1005" spans="1:32" x14ac:dyDescent="0.3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</row>
    <row r="1006" spans="1:32" x14ac:dyDescent="0.3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</row>
    <row r="1007" spans="1:32" x14ac:dyDescent="0.3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</row>
    <row r="1008" spans="1:32" x14ac:dyDescent="0.3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</row>
    <row r="1009" spans="1:32" x14ac:dyDescent="0.3">
      <c r="A1009" s="74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</row>
    <row r="1010" spans="1:32" x14ac:dyDescent="0.3">
      <c r="A1010" s="74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</row>
    <row r="1011" spans="1:32" x14ac:dyDescent="0.3">
      <c r="A1011" s="74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</row>
    <row r="1012" spans="1:32" x14ac:dyDescent="0.3">
      <c r="A1012" s="74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</row>
    <row r="1013" spans="1:32" x14ac:dyDescent="0.3">
      <c r="A1013" s="74"/>
      <c r="B1013" s="74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</row>
    <row r="1014" spans="1:32" x14ac:dyDescent="0.3">
      <c r="A1014" s="74"/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</row>
    <row r="1015" spans="1:32" x14ac:dyDescent="0.3">
      <c r="A1015" s="74"/>
      <c r="B1015" s="74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</row>
    <row r="1016" spans="1:32" x14ac:dyDescent="0.3">
      <c r="A1016" s="74"/>
      <c r="B1016" s="74"/>
      <c r="C1016" s="74"/>
      <c r="D1016" s="74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</row>
    <row r="1017" spans="1:32" x14ac:dyDescent="0.3">
      <c r="A1017" s="74"/>
      <c r="B1017" s="74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  <c r="AE1017" s="74"/>
      <c r="AF1017" s="74"/>
    </row>
    <row r="1018" spans="1:32" x14ac:dyDescent="0.3">
      <c r="A1018" s="74"/>
      <c r="B1018" s="74"/>
      <c r="C1018" s="74"/>
      <c r="D1018" s="74"/>
      <c r="E1018" s="74"/>
      <c r="F1018" s="74"/>
      <c r="G1018" s="74"/>
      <c r="H1018" s="74"/>
      <c r="I1018" s="74"/>
      <c r="J1018" s="74"/>
      <c r="K1018" s="74"/>
      <c r="L1018" s="74"/>
      <c r="M1018" s="74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  <c r="AE1018" s="74"/>
      <c r="AF1018" s="74"/>
    </row>
    <row r="1019" spans="1:32" x14ac:dyDescent="0.3">
      <c r="A1019" s="74"/>
      <c r="B1019" s="74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4"/>
      <c r="P1019" s="74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  <c r="AE1019" s="74"/>
      <c r="AF1019" s="74"/>
    </row>
    <row r="1020" spans="1:32" x14ac:dyDescent="0.3">
      <c r="A1020" s="74"/>
      <c r="B1020" s="74"/>
      <c r="C1020" s="74"/>
      <c r="D1020" s="74"/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4"/>
      <c r="P1020" s="74"/>
      <c r="Q1020" s="74"/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  <c r="AC1020" s="74"/>
      <c r="AD1020" s="74"/>
      <c r="AE1020" s="74"/>
      <c r="AF1020" s="74"/>
    </row>
    <row r="1021" spans="1:32" x14ac:dyDescent="0.3">
      <c r="A1021" s="74"/>
      <c r="B1021" s="74"/>
      <c r="C1021" s="74"/>
      <c r="D1021" s="74"/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4"/>
      <c r="P1021" s="74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  <c r="AE1021" s="74"/>
      <c r="AF1021" s="74"/>
    </row>
    <row r="1022" spans="1:32" x14ac:dyDescent="0.3">
      <c r="A1022" s="74"/>
      <c r="B1022" s="74"/>
      <c r="C1022" s="74"/>
      <c r="D1022" s="74"/>
      <c r="E1022" s="74"/>
      <c r="F1022" s="74"/>
      <c r="G1022" s="74"/>
      <c r="H1022" s="74"/>
      <c r="I1022" s="74"/>
      <c r="J1022" s="74"/>
      <c r="K1022" s="74"/>
      <c r="L1022" s="74"/>
      <c r="M1022" s="74"/>
      <c r="N1022" s="74"/>
      <c r="O1022" s="74"/>
      <c r="P1022" s="74"/>
      <c r="Q1022" s="74"/>
      <c r="R1022" s="74"/>
      <c r="S1022" s="74"/>
      <c r="T1022" s="74"/>
      <c r="U1022" s="74"/>
      <c r="V1022" s="74"/>
      <c r="W1022" s="74"/>
      <c r="X1022" s="74"/>
      <c r="Y1022" s="74"/>
      <c r="Z1022" s="74"/>
      <c r="AA1022" s="74"/>
      <c r="AB1022" s="74"/>
      <c r="AC1022" s="74"/>
      <c r="AD1022" s="74"/>
      <c r="AE1022" s="74"/>
      <c r="AF1022" s="74"/>
    </row>
    <row r="1023" spans="1:32" x14ac:dyDescent="0.3">
      <c r="A1023" s="74"/>
      <c r="B1023" s="74"/>
      <c r="C1023" s="74"/>
      <c r="D1023" s="74"/>
      <c r="E1023" s="74"/>
      <c r="F1023" s="74"/>
      <c r="G1023" s="74"/>
      <c r="H1023" s="74"/>
      <c r="I1023" s="74"/>
      <c r="J1023" s="74"/>
      <c r="K1023" s="74"/>
      <c r="L1023" s="74"/>
      <c r="M1023" s="74"/>
      <c r="N1023" s="74"/>
      <c r="O1023" s="74"/>
      <c r="P1023" s="74"/>
      <c r="Q1023" s="74"/>
      <c r="R1023" s="74"/>
      <c r="S1023" s="74"/>
      <c r="T1023" s="74"/>
      <c r="U1023" s="74"/>
      <c r="V1023" s="74"/>
      <c r="W1023" s="74"/>
      <c r="X1023" s="74"/>
      <c r="Y1023" s="74"/>
      <c r="Z1023" s="74"/>
      <c r="AA1023" s="74"/>
      <c r="AB1023" s="74"/>
      <c r="AC1023" s="74"/>
      <c r="AD1023" s="74"/>
      <c r="AE1023" s="74"/>
      <c r="AF1023" s="74"/>
    </row>
    <row r="1024" spans="1:32" x14ac:dyDescent="0.3">
      <c r="A1024" s="74"/>
      <c r="B1024" s="74"/>
      <c r="C1024" s="74"/>
      <c r="D1024" s="74"/>
      <c r="E1024" s="74"/>
      <c r="F1024" s="74"/>
      <c r="G1024" s="74"/>
      <c r="H1024" s="74"/>
      <c r="I1024" s="74"/>
      <c r="J1024" s="74"/>
      <c r="K1024" s="74"/>
      <c r="L1024" s="74"/>
      <c r="M1024" s="74"/>
      <c r="N1024" s="74"/>
      <c r="O1024" s="74"/>
      <c r="P1024" s="74"/>
      <c r="Q1024" s="74"/>
      <c r="R1024" s="74"/>
      <c r="S1024" s="74"/>
      <c r="T1024" s="74"/>
      <c r="U1024" s="74"/>
      <c r="V1024" s="74"/>
      <c r="W1024" s="74"/>
      <c r="X1024" s="74"/>
      <c r="Y1024" s="74"/>
      <c r="Z1024" s="74"/>
      <c r="AA1024" s="74"/>
      <c r="AB1024" s="74"/>
      <c r="AC1024" s="74"/>
      <c r="AD1024" s="74"/>
      <c r="AE1024" s="74"/>
      <c r="AF1024" s="74"/>
    </row>
    <row r="1025" spans="1:32" x14ac:dyDescent="0.3">
      <c r="A1025" s="74"/>
      <c r="B1025" s="74"/>
      <c r="C1025" s="74"/>
      <c r="D1025" s="74"/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4"/>
      <c r="P1025" s="74"/>
      <c r="Q1025" s="74"/>
      <c r="R1025" s="74"/>
      <c r="S1025" s="74"/>
      <c r="T1025" s="74"/>
      <c r="U1025" s="74"/>
      <c r="V1025" s="74"/>
      <c r="W1025" s="74"/>
      <c r="X1025" s="74"/>
      <c r="Y1025" s="74"/>
      <c r="Z1025" s="74"/>
      <c r="AA1025" s="74"/>
      <c r="AB1025" s="74"/>
      <c r="AC1025" s="74"/>
      <c r="AD1025" s="74"/>
      <c r="AE1025" s="74"/>
      <c r="AF1025" s="74"/>
    </row>
    <row r="1026" spans="1:32" x14ac:dyDescent="0.3">
      <c r="A1026" s="74"/>
      <c r="B1026" s="74"/>
      <c r="C1026" s="74"/>
      <c r="D1026" s="74"/>
      <c r="E1026" s="74"/>
      <c r="F1026" s="74"/>
      <c r="G1026" s="74"/>
      <c r="H1026" s="74"/>
      <c r="I1026" s="74"/>
      <c r="J1026" s="74"/>
      <c r="K1026" s="74"/>
      <c r="L1026" s="74"/>
      <c r="M1026" s="74"/>
      <c r="N1026" s="74"/>
      <c r="O1026" s="74"/>
      <c r="P1026" s="74"/>
      <c r="Q1026" s="74"/>
      <c r="R1026" s="74"/>
      <c r="S1026" s="74"/>
      <c r="T1026" s="74"/>
      <c r="U1026" s="74"/>
      <c r="V1026" s="74"/>
      <c r="W1026" s="74"/>
      <c r="X1026" s="74"/>
      <c r="Y1026" s="74"/>
      <c r="Z1026" s="74"/>
      <c r="AA1026" s="74"/>
      <c r="AB1026" s="74"/>
      <c r="AC1026" s="74"/>
      <c r="AD1026" s="74"/>
      <c r="AE1026" s="74"/>
      <c r="AF1026" s="74"/>
    </row>
    <row r="1027" spans="1:32" x14ac:dyDescent="0.3">
      <c r="A1027" s="74"/>
      <c r="B1027" s="74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4"/>
      <c r="P1027" s="74"/>
      <c r="Q1027" s="74"/>
      <c r="R1027" s="74"/>
      <c r="S1027" s="74"/>
      <c r="T1027" s="74"/>
      <c r="U1027" s="74"/>
      <c r="V1027" s="74"/>
      <c r="W1027" s="74"/>
      <c r="X1027" s="74"/>
      <c r="Y1027" s="74"/>
      <c r="Z1027" s="74"/>
      <c r="AA1027" s="74"/>
      <c r="AB1027" s="74"/>
      <c r="AC1027" s="74"/>
      <c r="AD1027" s="74"/>
      <c r="AE1027" s="74"/>
      <c r="AF1027" s="74"/>
    </row>
    <row r="1028" spans="1:32" x14ac:dyDescent="0.3">
      <c r="A1028" s="74"/>
      <c r="B1028" s="74"/>
      <c r="C1028" s="74"/>
      <c r="D1028" s="74"/>
      <c r="E1028" s="74"/>
      <c r="F1028" s="74"/>
      <c r="G1028" s="74"/>
      <c r="H1028" s="74"/>
      <c r="I1028" s="74"/>
      <c r="J1028" s="74"/>
      <c r="K1028" s="74"/>
      <c r="L1028" s="74"/>
      <c r="M1028" s="74"/>
      <c r="N1028" s="74"/>
      <c r="O1028" s="74"/>
      <c r="P1028" s="74"/>
      <c r="Q1028" s="74"/>
      <c r="R1028" s="74"/>
      <c r="S1028" s="74"/>
      <c r="T1028" s="74"/>
      <c r="U1028" s="74"/>
      <c r="V1028" s="74"/>
      <c r="W1028" s="74"/>
      <c r="X1028" s="74"/>
      <c r="Y1028" s="74"/>
      <c r="Z1028" s="74"/>
      <c r="AA1028" s="74"/>
      <c r="AB1028" s="74"/>
      <c r="AC1028" s="74"/>
      <c r="AD1028" s="74"/>
      <c r="AE1028" s="74"/>
      <c r="AF1028" s="74"/>
    </row>
    <row r="1029" spans="1:32" x14ac:dyDescent="0.3">
      <c r="A1029" s="74"/>
      <c r="B1029" s="74"/>
      <c r="C1029" s="74"/>
      <c r="D1029" s="74"/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4"/>
      <c r="P1029" s="74"/>
      <c r="Q1029" s="74"/>
      <c r="R1029" s="74"/>
      <c r="S1029" s="74"/>
      <c r="T1029" s="74"/>
      <c r="U1029" s="74"/>
      <c r="V1029" s="74"/>
      <c r="W1029" s="74"/>
      <c r="X1029" s="74"/>
      <c r="Y1029" s="74"/>
      <c r="Z1029" s="74"/>
      <c r="AA1029" s="74"/>
      <c r="AB1029" s="74"/>
      <c r="AC1029" s="74"/>
      <c r="AD1029" s="74"/>
      <c r="AE1029" s="74"/>
      <c r="AF1029" s="74"/>
    </row>
    <row r="1030" spans="1:32" x14ac:dyDescent="0.3">
      <c r="A1030" s="74"/>
      <c r="B1030" s="74"/>
      <c r="C1030" s="74"/>
      <c r="D1030" s="74"/>
      <c r="E1030" s="74"/>
      <c r="F1030" s="74"/>
      <c r="G1030" s="74"/>
      <c r="H1030" s="74"/>
      <c r="I1030" s="74"/>
      <c r="J1030" s="74"/>
      <c r="K1030" s="74"/>
      <c r="L1030" s="74"/>
      <c r="M1030" s="74"/>
      <c r="N1030" s="74"/>
      <c r="O1030" s="74"/>
      <c r="P1030" s="74"/>
      <c r="Q1030" s="74"/>
      <c r="R1030" s="74"/>
      <c r="S1030" s="74"/>
      <c r="T1030" s="74"/>
      <c r="U1030" s="74"/>
      <c r="V1030" s="74"/>
      <c r="W1030" s="74"/>
      <c r="X1030" s="74"/>
      <c r="Y1030" s="74"/>
      <c r="Z1030" s="74"/>
      <c r="AA1030" s="74"/>
      <c r="AB1030" s="74"/>
      <c r="AC1030" s="74"/>
      <c r="AD1030" s="74"/>
      <c r="AE1030" s="74"/>
      <c r="AF1030" s="74"/>
    </row>
  </sheetData>
  <mergeCells count="4">
    <mergeCell ref="A55:E55"/>
    <mergeCell ref="A58:B58"/>
    <mergeCell ref="C58:Q58"/>
    <mergeCell ref="A87:E87"/>
  </mergeCells>
  <hyperlinks>
    <hyperlink ref="A1" r:id="rId1" display="http://s.no/" xr:uid="{E6DBBE36-2ECD-4C8C-94D5-64348C920AF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C11B-CE2A-4338-A59A-2D34CBDFB206}">
  <dimension ref="C5:U17"/>
  <sheetViews>
    <sheetView topLeftCell="F8" zoomScale="133" workbookViewId="0">
      <selection activeCell="C6" sqref="C6:I17"/>
    </sheetView>
  </sheetViews>
  <sheetFormatPr defaultRowHeight="14.4" x14ac:dyDescent="0.3"/>
  <cols>
    <col min="3" max="3" width="5.77734375" bestFit="1" customWidth="1"/>
    <col min="4" max="4" width="12.6640625" bestFit="1" customWidth="1"/>
    <col min="5" max="5" width="9.5546875" bestFit="1" customWidth="1"/>
    <col min="6" max="6" width="39.88671875" bestFit="1" customWidth="1"/>
    <col min="7" max="7" width="18.44140625" bestFit="1" customWidth="1"/>
    <col min="8" max="8" width="10.77734375" bestFit="1" customWidth="1"/>
    <col min="9" max="9" width="11.6640625" bestFit="1" customWidth="1"/>
    <col min="12" max="12" width="5.77734375" bestFit="1" customWidth="1"/>
    <col min="13" max="13" width="10.6640625" bestFit="1" customWidth="1"/>
    <col min="14" max="14" width="6" bestFit="1" customWidth="1"/>
    <col min="15" max="15" width="18.21875" bestFit="1" customWidth="1"/>
    <col min="16" max="16" width="16" bestFit="1" customWidth="1"/>
    <col min="17" max="17" width="10.77734375" bestFit="1" customWidth="1"/>
    <col min="18" max="18" width="11.6640625" bestFit="1" customWidth="1"/>
    <col min="21" max="21" width="23.21875" bestFit="1" customWidth="1"/>
  </cols>
  <sheetData>
    <row r="5" spans="3:21" ht="15" thickBot="1" x14ac:dyDescent="0.35"/>
    <row r="6" spans="3:21" ht="15" thickBot="1" x14ac:dyDescent="0.35">
      <c r="C6" s="120" t="s">
        <v>174</v>
      </c>
      <c r="D6" s="121" t="s">
        <v>26</v>
      </c>
      <c r="E6" s="121" t="s">
        <v>27</v>
      </c>
      <c r="F6" s="121" t="s">
        <v>28</v>
      </c>
      <c r="G6" s="121" t="s">
        <v>29</v>
      </c>
      <c r="H6" s="122" t="s">
        <v>110</v>
      </c>
      <c r="I6" s="122" t="s">
        <v>175</v>
      </c>
      <c r="L6" s="120" t="s">
        <v>174</v>
      </c>
      <c r="M6" s="121" t="s">
        <v>26</v>
      </c>
      <c r="N6" s="121" t="s">
        <v>27</v>
      </c>
      <c r="O6" s="121" t="s">
        <v>28</v>
      </c>
      <c r="P6" s="121" t="s">
        <v>29</v>
      </c>
      <c r="Q6" s="122" t="s">
        <v>110</v>
      </c>
      <c r="R6" s="122" t="s">
        <v>175</v>
      </c>
      <c r="U6" s="121" t="s">
        <v>28</v>
      </c>
    </row>
    <row r="7" spans="3:21" ht="15" thickBot="1" x14ac:dyDescent="0.35">
      <c r="C7" s="60">
        <v>1</v>
      </c>
      <c r="D7" s="61">
        <v>2070</v>
      </c>
      <c r="E7" s="62">
        <v>45872</v>
      </c>
      <c r="F7" s="63" t="s">
        <v>113</v>
      </c>
      <c r="G7" s="64" t="s">
        <v>114</v>
      </c>
      <c r="H7" s="64">
        <v>44111200</v>
      </c>
      <c r="I7" s="64">
        <v>87200</v>
      </c>
      <c r="L7" cm="1">
        <f t="array" ref="L7:R10">_xlfn._xlws.FILTER(C6:I17,F6:F17=U7)</f>
        <v>1</v>
      </c>
      <c r="M7">
        <v>2070</v>
      </c>
      <c r="N7">
        <v>45872</v>
      </c>
      <c r="O7" t="str">
        <v>Bhagwati Enterprises</v>
      </c>
      <c r="P7" t="str">
        <v>06AVXPA5626J1Z8</v>
      </c>
      <c r="Q7">
        <v>44111200</v>
      </c>
      <c r="R7">
        <v>87200</v>
      </c>
      <c r="U7" t="s">
        <v>113</v>
      </c>
    </row>
    <row r="8" spans="3:21" ht="15" thickBot="1" x14ac:dyDescent="0.35">
      <c r="C8" s="60">
        <v>2</v>
      </c>
      <c r="D8" s="61" t="s">
        <v>293</v>
      </c>
      <c r="E8" s="62">
        <v>45874</v>
      </c>
      <c r="F8" s="63" t="s">
        <v>294</v>
      </c>
      <c r="G8" s="64" t="s">
        <v>295</v>
      </c>
      <c r="H8" s="64">
        <v>8517300</v>
      </c>
      <c r="I8" s="64">
        <v>14500</v>
      </c>
      <c r="L8">
        <v>3</v>
      </c>
      <c r="M8">
        <v>2073</v>
      </c>
      <c r="N8">
        <v>45876</v>
      </c>
      <c r="O8" t="str">
        <v>Bhagwati Enterprises</v>
      </c>
      <c r="P8" t="str">
        <v>06AVXPA5626J1Z8</v>
      </c>
      <c r="Q8">
        <v>39219099</v>
      </c>
      <c r="R8">
        <v>36300</v>
      </c>
    </row>
    <row r="9" spans="3:21" ht="15" thickBot="1" x14ac:dyDescent="0.35">
      <c r="C9" s="60">
        <v>3</v>
      </c>
      <c r="D9" s="61">
        <v>2073</v>
      </c>
      <c r="E9" s="62">
        <v>45876</v>
      </c>
      <c r="F9" s="63" t="s">
        <v>113</v>
      </c>
      <c r="G9" s="64" t="s">
        <v>114</v>
      </c>
      <c r="H9" s="64">
        <v>39219099</v>
      </c>
      <c r="I9" s="64">
        <v>36300</v>
      </c>
      <c r="L9">
        <v>6</v>
      </c>
      <c r="M9">
        <v>2079</v>
      </c>
      <c r="N9">
        <v>45888</v>
      </c>
      <c r="O9" t="str">
        <v>Bhagwati Enterprises</v>
      </c>
      <c r="P9" t="str">
        <v>06AVXPA5626J1Z8</v>
      </c>
      <c r="Q9">
        <v>44111200</v>
      </c>
      <c r="R9">
        <v>71200</v>
      </c>
    </row>
    <row r="10" spans="3:21" ht="15" thickBot="1" x14ac:dyDescent="0.35">
      <c r="C10" s="60">
        <v>4</v>
      </c>
      <c r="D10" s="61" t="s">
        <v>296</v>
      </c>
      <c r="E10" s="62">
        <v>45881</v>
      </c>
      <c r="F10" s="63" t="s">
        <v>297</v>
      </c>
      <c r="G10" s="64" t="s">
        <v>211</v>
      </c>
      <c r="H10" s="64">
        <v>84439959</v>
      </c>
      <c r="I10" s="64">
        <v>11000</v>
      </c>
      <c r="L10">
        <v>11</v>
      </c>
      <c r="M10">
        <v>2089</v>
      </c>
      <c r="N10">
        <v>45899</v>
      </c>
      <c r="O10" t="str">
        <v>Bhagwati Enterprises</v>
      </c>
      <c r="P10" t="str">
        <v>06AVXPA5626J1Z8</v>
      </c>
      <c r="Q10">
        <v>44111200</v>
      </c>
      <c r="R10">
        <v>36000</v>
      </c>
    </row>
    <row r="11" spans="3:21" ht="15" thickBot="1" x14ac:dyDescent="0.35">
      <c r="C11" s="60">
        <v>5</v>
      </c>
      <c r="D11" s="61" t="s">
        <v>298</v>
      </c>
      <c r="E11" s="62">
        <v>45883</v>
      </c>
      <c r="F11" s="63" t="s">
        <v>299</v>
      </c>
      <c r="G11" s="64" t="s">
        <v>300</v>
      </c>
      <c r="H11" s="64">
        <v>2828</v>
      </c>
      <c r="I11" s="64">
        <v>2550</v>
      </c>
    </row>
    <row r="12" spans="3:21" ht="15" thickBot="1" x14ac:dyDescent="0.35">
      <c r="C12" s="70">
        <v>6</v>
      </c>
      <c r="D12" s="61">
        <v>2079</v>
      </c>
      <c r="E12" s="62">
        <v>45888</v>
      </c>
      <c r="F12" s="63" t="s">
        <v>113</v>
      </c>
      <c r="G12" s="64" t="s">
        <v>114</v>
      </c>
      <c r="H12" s="64">
        <v>44111200</v>
      </c>
      <c r="I12" s="64">
        <v>71200</v>
      </c>
    </row>
    <row r="13" spans="3:21" ht="15" thickBot="1" x14ac:dyDescent="0.35">
      <c r="C13" s="70">
        <v>7</v>
      </c>
      <c r="D13" s="61" t="s">
        <v>301</v>
      </c>
      <c r="E13" s="62">
        <v>45889</v>
      </c>
      <c r="F13" s="63" t="s">
        <v>302</v>
      </c>
      <c r="G13" s="64" t="s">
        <v>303</v>
      </c>
      <c r="H13" s="64">
        <v>85171300</v>
      </c>
      <c r="I13" s="64">
        <v>133898.31</v>
      </c>
    </row>
    <row r="14" spans="3:21" ht="15" thickBot="1" x14ac:dyDescent="0.35">
      <c r="C14" s="70">
        <v>8</v>
      </c>
      <c r="D14" s="61">
        <v>196</v>
      </c>
      <c r="E14" s="62">
        <v>45892</v>
      </c>
      <c r="F14" s="63" t="s">
        <v>304</v>
      </c>
      <c r="G14" s="64" t="s">
        <v>116</v>
      </c>
      <c r="H14" s="64">
        <v>3919</v>
      </c>
      <c r="I14" s="64">
        <v>63416</v>
      </c>
    </row>
    <row r="15" spans="3:21" ht="15" thickBot="1" x14ac:dyDescent="0.35">
      <c r="C15" s="70">
        <v>9</v>
      </c>
      <c r="D15" s="61" t="s">
        <v>305</v>
      </c>
      <c r="E15" s="62">
        <v>45898</v>
      </c>
      <c r="F15" s="63" t="s">
        <v>306</v>
      </c>
      <c r="G15" s="64" t="s">
        <v>307</v>
      </c>
      <c r="H15" s="64">
        <v>84145120</v>
      </c>
      <c r="I15" s="64">
        <v>12711.86</v>
      </c>
    </row>
    <row r="16" spans="3:21" ht="15" thickBot="1" x14ac:dyDescent="0.35">
      <c r="C16" s="70">
        <v>10</v>
      </c>
      <c r="D16" s="61" t="s">
        <v>308</v>
      </c>
      <c r="E16" s="62">
        <v>45898</v>
      </c>
      <c r="F16" s="63" t="s">
        <v>309</v>
      </c>
      <c r="G16" s="64" t="s">
        <v>196</v>
      </c>
      <c r="H16" s="64">
        <v>84439959</v>
      </c>
      <c r="I16" s="64">
        <v>10700</v>
      </c>
    </row>
    <row r="17" spans="3:9" ht="15" thickBot="1" x14ac:dyDescent="0.35">
      <c r="C17" s="70">
        <v>11</v>
      </c>
      <c r="D17" s="61">
        <v>2089</v>
      </c>
      <c r="E17" s="62">
        <v>45899</v>
      </c>
      <c r="F17" s="63" t="s">
        <v>113</v>
      </c>
      <c r="G17" s="64" t="s">
        <v>114</v>
      </c>
      <c r="H17" s="64">
        <v>44111200</v>
      </c>
      <c r="I17" s="64">
        <v>36000</v>
      </c>
    </row>
  </sheetData>
  <dataValidations count="1">
    <dataValidation type="list" allowBlank="1" showInputMessage="1" showErrorMessage="1" sqref="U7" xr:uid="{1C51B16C-0279-4DB6-8B2F-E2CC68B1EDA0}">
      <formula1>$F$7:$F$17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EABD-813C-4E28-9CA3-51F775754F0B}">
  <dimension ref="C1:M13"/>
  <sheetViews>
    <sheetView zoomScale="83" workbookViewId="0">
      <selection activeCell="J1" sqref="J1:M1048576"/>
    </sheetView>
  </sheetViews>
  <sheetFormatPr defaultRowHeight="14.4" x14ac:dyDescent="0.3"/>
  <cols>
    <col min="3" max="3" width="5.77734375" bestFit="1" customWidth="1"/>
    <col min="4" max="4" width="12.6640625" bestFit="1" customWidth="1"/>
    <col min="5" max="5" width="26" bestFit="1" customWidth="1"/>
    <col min="6" max="6" width="39.88671875" bestFit="1" customWidth="1"/>
    <col min="7" max="7" width="18.44140625" bestFit="1" customWidth="1"/>
    <col min="8" max="8" width="10.77734375" bestFit="1" customWidth="1"/>
    <col min="9" max="9" width="12.44140625" bestFit="1" customWidth="1"/>
    <col min="13" max="13" width="10" bestFit="1" customWidth="1"/>
  </cols>
  <sheetData>
    <row r="1" spans="3:13" ht="15" thickBot="1" x14ac:dyDescent="0.35"/>
    <row r="2" spans="3:13" ht="15" thickBot="1" x14ac:dyDescent="0.35">
      <c r="C2" s="120" t="s">
        <v>174</v>
      </c>
      <c r="D2" s="121" t="s">
        <v>26</v>
      </c>
      <c r="E2" s="121" t="s">
        <v>27</v>
      </c>
      <c r="F2" s="121" t="s">
        <v>28</v>
      </c>
      <c r="G2" s="121" t="s">
        <v>29</v>
      </c>
      <c r="H2" s="122" t="s">
        <v>110</v>
      </c>
      <c r="I2" s="122" t="s">
        <v>175</v>
      </c>
      <c r="J2" s="125" t="s">
        <v>576</v>
      </c>
      <c r="K2" s="125" t="s">
        <v>577</v>
      </c>
      <c r="L2" s="125" t="s">
        <v>578</v>
      </c>
      <c r="M2" s="125" t="s">
        <v>579</v>
      </c>
    </row>
    <row r="3" spans="3:13" ht="15" thickBot="1" x14ac:dyDescent="0.35">
      <c r="C3" s="60">
        <v>1</v>
      </c>
      <c r="D3" s="61">
        <v>2070</v>
      </c>
      <c r="E3" s="124">
        <v>45872</v>
      </c>
      <c r="F3" s="63" t="s">
        <v>113</v>
      </c>
      <c r="G3" s="64" t="s">
        <v>114</v>
      </c>
      <c r="H3" s="64">
        <v>44111200</v>
      </c>
      <c r="I3" s="123">
        <v>87200</v>
      </c>
      <c r="J3">
        <f>DAY(E3)</f>
        <v>3</v>
      </c>
      <c r="K3">
        <f>MONTH(E3)</f>
        <v>8</v>
      </c>
      <c r="L3">
        <f>YEAR(E3)</f>
        <v>2025</v>
      </c>
      <c r="M3" t="str">
        <f>CONCATENATE(DAY(E3)," /",MONTH(E3)," /",YEAR(E3))</f>
        <v>3 /8 /2025</v>
      </c>
    </row>
    <row r="4" spans="3:13" ht="15" thickBot="1" x14ac:dyDescent="0.35">
      <c r="C4" s="60">
        <v>2</v>
      </c>
      <c r="D4" s="61" t="s">
        <v>293</v>
      </c>
      <c r="E4" s="124">
        <v>45874</v>
      </c>
      <c r="F4" s="63" t="s">
        <v>294</v>
      </c>
      <c r="G4" s="64" t="s">
        <v>295</v>
      </c>
      <c r="H4" s="64">
        <v>8517300</v>
      </c>
      <c r="I4" s="123">
        <v>14500</v>
      </c>
      <c r="J4">
        <f t="shared" ref="J4:J13" si="0">DAY(E4)</f>
        <v>5</v>
      </c>
      <c r="K4">
        <f t="shared" ref="K4:K13" si="1">MONTH(E4)</f>
        <v>8</v>
      </c>
      <c r="L4">
        <f t="shared" ref="L4:L13" si="2">YEAR(E4)</f>
        <v>2025</v>
      </c>
      <c r="M4" t="str">
        <f t="shared" ref="M4:M13" si="3">CONCATENATE(DAY(E4)," /",MONTH(E4)," /",YEAR(E4))</f>
        <v>5 /8 /2025</v>
      </c>
    </row>
    <row r="5" spans="3:13" ht="15" thickBot="1" x14ac:dyDescent="0.35">
      <c r="C5" s="60">
        <v>3</v>
      </c>
      <c r="D5" s="61">
        <v>2073</v>
      </c>
      <c r="E5" s="124">
        <v>45876</v>
      </c>
      <c r="F5" s="63" t="s">
        <v>113</v>
      </c>
      <c r="G5" s="64" t="s">
        <v>114</v>
      </c>
      <c r="H5" s="64">
        <v>39219099</v>
      </c>
      <c r="I5" s="123">
        <v>36300</v>
      </c>
      <c r="J5">
        <f t="shared" si="0"/>
        <v>7</v>
      </c>
      <c r="K5">
        <f t="shared" si="1"/>
        <v>8</v>
      </c>
      <c r="L5">
        <f t="shared" si="2"/>
        <v>2025</v>
      </c>
      <c r="M5" t="str">
        <f t="shared" si="3"/>
        <v>7 /8 /2025</v>
      </c>
    </row>
    <row r="6" spans="3:13" ht="15" thickBot="1" x14ac:dyDescent="0.35">
      <c r="C6" s="60">
        <v>4</v>
      </c>
      <c r="D6" s="61" t="s">
        <v>296</v>
      </c>
      <c r="E6" s="124">
        <v>45881</v>
      </c>
      <c r="F6" s="63" t="s">
        <v>297</v>
      </c>
      <c r="G6" s="64" t="s">
        <v>211</v>
      </c>
      <c r="H6" s="64">
        <v>84439959</v>
      </c>
      <c r="I6" s="123">
        <v>11000</v>
      </c>
      <c r="J6">
        <f t="shared" si="0"/>
        <v>12</v>
      </c>
      <c r="K6">
        <f t="shared" si="1"/>
        <v>8</v>
      </c>
      <c r="L6">
        <f t="shared" si="2"/>
        <v>2025</v>
      </c>
      <c r="M6" t="str">
        <f t="shared" si="3"/>
        <v>12 /8 /2025</v>
      </c>
    </row>
    <row r="7" spans="3:13" ht="15" thickBot="1" x14ac:dyDescent="0.35">
      <c r="C7" s="60">
        <v>5</v>
      </c>
      <c r="D7" s="61" t="s">
        <v>298</v>
      </c>
      <c r="E7" s="124">
        <v>45883</v>
      </c>
      <c r="F7" s="63" t="s">
        <v>299</v>
      </c>
      <c r="G7" s="64" t="s">
        <v>300</v>
      </c>
      <c r="H7" s="64">
        <v>2828</v>
      </c>
      <c r="I7" s="123">
        <v>2550</v>
      </c>
      <c r="J7">
        <f t="shared" si="0"/>
        <v>14</v>
      </c>
      <c r="K7">
        <f t="shared" si="1"/>
        <v>8</v>
      </c>
      <c r="L7">
        <f t="shared" si="2"/>
        <v>2025</v>
      </c>
      <c r="M7" t="str">
        <f t="shared" si="3"/>
        <v>14 /8 /2025</v>
      </c>
    </row>
    <row r="8" spans="3:13" ht="15" thickBot="1" x14ac:dyDescent="0.35">
      <c r="C8" s="70">
        <v>6</v>
      </c>
      <c r="D8" s="61">
        <v>2079</v>
      </c>
      <c r="E8" s="124">
        <v>45888</v>
      </c>
      <c r="F8" s="63" t="s">
        <v>113</v>
      </c>
      <c r="G8" s="64" t="s">
        <v>114</v>
      </c>
      <c r="H8" s="64">
        <v>44111200</v>
      </c>
      <c r="I8" s="123">
        <v>71200</v>
      </c>
      <c r="J8">
        <f t="shared" si="0"/>
        <v>19</v>
      </c>
      <c r="K8">
        <f t="shared" si="1"/>
        <v>8</v>
      </c>
      <c r="L8">
        <f t="shared" si="2"/>
        <v>2025</v>
      </c>
      <c r="M8" t="str">
        <f t="shared" si="3"/>
        <v>19 /8 /2025</v>
      </c>
    </row>
    <row r="9" spans="3:13" ht="15" thickBot="1" x14ac:dyDescent="0.35">
      <c r="C9" s="70">
        <v>7</v>
      </c>
      <c r="D9" s="61" t="s">
        <v>301</v>
      </c>
      <c r="E9" s="124">
        <v>45889</v>
      </c>
      <c r="F9" s="63" t="s">
        <v>302</v>
      </c>
      <c r="G9" s="64" t="s">
        <v>303</v>
      </c>
      <c r="H9" s="64">
        <v>85171300</v>
      </c>
      <c r="I9" s="123">
        <v>133898.31</v>
      </c>
      <c r="J9">
        <f t="shared" si="0"/>
        <v>20</v>
      </c>
      <c r="K9">
        <f t="shared" si="1"/>
        <v>8</v>
      </c>
      <c r="L9">
        <f t="shared" si="2"/>
        <v>2025</v>
      </c>
      <c r="M9" t="str">
        <f t="shared" si="3"/>
        <v>20 /8 /2025</v>
      </c>
    </row>
    <row r="10" spans="3:13" ht="15" thickBot="1" x14ac:dyDescent="0.35">
      <c r="C10" s="70">
        <v>8</v>
      </c>
      <c r="D10" s="61">
        <v>196</v>
      </c>
      <c r="E10" s="124">
        <v>45892</v>
      </c>
      <c r="F10" s="63" t="s">
        <v>304</v>
      </c>
      <c r="G10" s="64" t="s">
        <v>116</v>
      </c>
      <c r="H10" s="64">
        <v>3919</v>
      </c>
      <c r="I10" s="123">
        <v>63416</v>
      </c>
      <c r="J10">
        <f t="shared" si="0"/>
        <v>23</v>
      </c>
      <c r="K10">
        <f t="shared" si="1"/>
        <v>8</v>
      </c>
      <c r="L10">
        <f t="shared" si="2"/>
        <v>2025</v>
      </c>
      <c r="M10" t="str">
        <f t="shared" si="3"/>
        <v>23 /8 /2025</v>
      </c>
    </row>
    <row r="11" spans="3:13" ht="15" thickBot="1" x14ac:dyDescent="0.35">
      <c r="C11" s="70">
        <v>9</v>
      </c>
      <c r="D11" s="61" t="s">
        <v>305</v>
      </c>
      <c r="E11" s="124">
        <v>45898</v>
      </c>
      <c r="F11" s="63" t="s">
        <v>306</v>
      </c>
      <c r="G11" s="64" t="s">
        <v>307</v>
      </c>
      <c r="H11" s="64">
        <v>84145120</v>
      </c>
      <c r="I11" s="123">
        <v>12711.86</v>
      </c>
      <c r="J11">
        <f t="shared" si="0"/>
        <v>29</v>
      </c>
      <c r="K11">
        <f t="shared" si="1"/>
        <v>8</v>
      </c>
      <c r="L11">
        <f t="shared" si="2"/>
        <v>2025</v>
      </c>
      <c r="M11" t="str">
        <f t="shared" si="3"/>
        <v>29 /8 /2025</v>
      </c>
    </row>
    <row r="12" spans="3:13" ht="15" thickBot="1" x14ac:dyDescent="0.35">
      <c r="C12" s="70">
        <v>10</v>
      </c>
      <c r="D12" s="61" t="s">
        <v>308</v>
      </c>
      <c r="E12" s="124">
        <v>45898</v>
      </c>
      <c r="F12" s="63" t="s">
        <v>309</v>
      </c>
      <c r="G12" s="64" t="s">
        <v>196</v>
      </c>
      <c r="H12" s="64">
        <v>84439959</v>
      </c>
      <c r="I12" s="123">
        <v>10700</v>
      </c>
      <c r="J12">
        <f t="shared" si="0"/>
        <v>29</v>
      </c>
      <c r="K12">
        <f t="shared" si="1"/>
        <v>8</v>
      </c>
      <c r="L12">
        <f t="shared" si="2"/>
        <v>2025</v>
      </c>
      <c r="M12" t="str">
        <f t="shared" si="3"/>
        <v>29 /8 /2025</v>
      </c>
    </row>
    <row r="13" spans="3:13" ht="15" thickBot="1" x14ac:dyDescent="0.35">
      <c r="C13" s="70">
        <v>11</v>
      </c>
      <c r="D13" s="61">
        <v>2089</v>
      </c>
      <c r="E13" s="124">
        <v>45899</v>
      </c>
      <c r="F13" s="63" t="s">
        <v>113</v>
      </c>
      <c r="G13" s="64" t="s">
        <v>114</v>
      </c>
      <c r="H13" s="64">
        <v>44111200</v>
      </c>
      <c r="I13" s="123">
        <v>36000</v>
      </c>
      <c r="J13">
        <f t="shared" si="0"/>
        <v>30</v>
      </c>
      <c r="K13">
        <f t="shared" si="1"/>
        <v>8</v>
      </c>
      <c r="L13">
        <f t="shared" si="2"/>
        <v>2025</v>
      </c>
      <c r="M13" t="str">
        <f t="shared" si="3"/>
        <v>30 /8 /2025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1961-F66E-438F-94CB-3DDB7A61D43A}">
  <sheetPr>
    <tabColor rgb="FF00B0F0"/>
  </sheetPr>
  <dimension ref="A1:AF1020"/>
  <sheetViews>
    <sheetView workbookViewId="0">
      <selection activeCell="G17" sqref="G17"/>
    </sheetView>
  </sheetViews>
  <sheetFormatPr defaultRowHeight="14.4" x14ac:dyDescent="0.3"/>
  <cols>
    <col min="1" max="1" width="5.5546875" bestFit="1" customWidth="1"/>
    <col min="2" max="2" width="10.6640625" bestFit="1" customWidth="1"/>
    <col min="3" max="3" width="8.5546875" bestFit="1" customWidth="1"/>
    <col min="4" max="4" width="44.6640625" bestFit="1" customWidth="1"/>
    <col min="5" max="5" width="18.44140625" bestFit="1" customWidth="1"/>
    <col min="6" max="6" width="10.6640625" bestFit="1" customWidth="1"/>
    <col min="7" max="7" width="6" bestFit="1" customWidth="1"/>
    <col min="8" max="8" width="4.88671875" bestFit="1" customWidth="1"/>
    <col min="9" max="9" width="7.88671875" bestFit="1" customWidth="1"/>
    <col min="10" max="10" width="10.6640625" bestFit="1" customWidth="1"/>
    <col min="11" max="11" width="4.6640625" bestFit="1" customWidth="1"/>
    <col min="12" max="12" width="11.88671875" bestFit="1" customWidth="1"/>
    <col min="14" max="14" width="10.109375" bestFit="1" customWidth="1"/>
    <col min="15" max="15" width="10.88671875" bestFit="1" customWidth="1"/>
    <col min="16" max="16" width="14" bestFit="1" customWidth="1"/>
    <col min="17" max="17" width="12.88671875" bestFit="1" customWidth="1"/>
    <col min="18" max="18" width="1.88671875" bestFit="1" customWidth="1"/>
    <col min="19" max="19" width="6.33203125" bestFit="1" customWidth="1"/>
    <col min="20" max="20" width="10.88671875" bestFit="1" customWidth="1"/>
  </cols>
  <sheetData>
    <row r="1" spans="1:32" x14ac:dyDescent="0.3">
      <c r="A1" s="90" t="s">
        <v>174</v>
      </c>
      <c r="B1" s="73" t="s">
        <v>26</v>
      </c>
      <c r="C1" s="73" t="s">
        <v>27</v>
      </c>
      <c r="D1" s="73" t="s">
        <v>28</v>
      </c>
      <c r="E1" s="73" t="s">
        <v>29</v>
      </c>
      <c r="F1" s="73" t="s">
        <v>110</v>
      </c>
      <c r="G1" s="73" t="s">
        <v>31</v>
      </c>
      <c r="H1" s="73" t="s">
        <v>232</v>
      </c>
      <c r="I1" s="73" t="s">
        <v>32</v>
      </c>
      <c r="J1" s="73" t="s">
        <v>127</v>
      </c>
      <c r="K1" s="73" t="s">
        <v>34</v>
      </c>
      <c r="L1" s="73" t="s">
        <v>128</v>
      </c>
      <c r="M1" s="73" t="s">
        <v>36</v>
      </c>
      <c r="N1" s="73" t="s">
        <v>37</v>
      </c>
      <c r="O1" s="73" t="s">
        <v>38</v>
      </c>
      <c r="P1" s="73" t="s">
        <v>129</v>
      </c>
      <c r="Q1" s="73" t="s">
        <v>130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</row>
    <row r="2" spans="1:32" x14ac:dyDescent="0.3">
      <c r="A2" s="60">
        <v>1</v>
      </c>
      <c r="B2" s="61" t="s">
        <v>313</v>
      </c>
      <c r="C2" s="63"/>
      <c r="D2" s="64" t="s">
        <v>314</v>
      </c>
      <c r="E2" s="63"/>
      <c r="F2" s="68"/>
      <c r="G2" s="68"/>
      <c r="H2" s="68"/>
      <c r="I2" s="68"/>
      <c r="J2" s="68"/>
      <c r="K2" s="68"/>
      <c r="L2" s="68"/>
      <c r="M2" s="63"/>
      <c r="N2" s="63"/>
      <c r="O2" s="63"/>
      <c r="P2" s="63"/>
      <c r="Q2" s="68"/>
      <c r="R2" s="74"/>
      <c r="S2" s="74"/>
      <c r="T2" s="76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</row>
    <row r="3" spans="1:32" x14ac:dyDescent="0.3">
      <c r="A3" s="60">
        <v>2</v>
      </c>
      <c r="B3" s="77" t="s">
        <v>315</v>
      </c>
      <c r="C3" s="62">
        <v>45845</v>
      </c>
      <c r="D3" s="63" t="s">
        <v>148</v>
      </c>
      <c r="E3" s="64" t="s">
        <v>49</v>
      </c>
      <c r="F3" s="75">
        <v>49110000</v>
      </c>
      <c r="G3" s="75">
        <v>2857</v>
      </c>
      <c r="H3" s="68"/>
      <c r="I3" s="68"/>
      <c r="J3" s="68"/>
      <c r="K3" s="68"/>
      <c r="L3" s="75">
        <v>10799.46</v>
      </c>
      <c r="M3" s="64">
        <v>0</v>
      </c>
      <c r="N3" s="64">
        <v>0</v>
      </c>
      <c r="O3" s="64">
        <v>1943.9028000000001</v>
      </c>
      <c r="P3" s="64">
        <v>0</v>
      </c>
      <c r="Q3" s="65">
        <v>12743.36</v>
      </c>
      <c r="R3" s="74"/>
      <c r="S3" s="74"/>
      <c r="T3" s="76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</row>
    <row r="4" spans="1:32" x14ac:dyDescent="0.3">
      <c r="A4" s="60">
        <v>3</v>
      </c>
      <c r="B4" s="78" t="s">
        <v>316</v>
      </c>
      <c r="C4" s="62">
        <v>45845</v>
      </c>
      <c r="D4" s="63" t="s">
        <v>132</v>
      </c>
      <c r="E4" s="64" t="s">
        <v>85</v>
      </c>
      <c r="F4" s="75">
        <v>4820</v>
      </c>
      <c r="G4" s="75">
        <v>100</v>
      </c>
      <c r="H4" s="68"/>
      <c r="I4" s="68"/>
      <c r="J4" s="68"/>
      <c r="K4" s="68"/>
      <c r="L4" s="75">
        <v>14000</v>
      </c>
      <c r="M4" s="64">
        <v>0</v>
      </c>
      <c r="N4" s="64">
        <v>0</v>
      </c>
      <c r="O4" s="64">
        <v>2520</v>
      </c>
      <c r="P4" s="64">
        <v>0</v>
      </c>
      <c r="Q4" s="65">
        <v>16520</v>
      </c>
      <c r="R4" s="74"/>
      <c r="S4" s="74"/>
      <c r="T4" s="76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</row>
    <row r="5" spans="1:32" x14ac:dyDescent="0.3">
      <c r="A5" s="60">
        <v>4</v>
      </c>
      <c r="B5" s="61" t="s">
        <v>317</v>
      </c>
      <c r="C5" s="62">
        <v>45845</v>
      </c>
      <c r="D5" s="63" t="s">
        <v>318</v>
      </c>
      <c r="E5" s="64" t="s">
        <v>319</v>
      </c>
      <c r="F5" s="75">
        <v>7219</v>
      </c>
      <c r="G5" s="75">
        <v>177</v>
      </c>
      <c r="H5" s="68"/>
      <c r="I5" s="68"/>
      <c r="J5" s="68"/>
      <c r="K5" s="68"/>
      <c r="L5" s="75">
        <v>15222</v>
      </c>
      <c r="M5" s="64">
        <v>0</v>
      </c>
      <c r="N5" s="64">
        <v>0</v>
      </c>
      <c r="O5" s="64">
        <v>2739.96</v>
      </c>
      <c r="P5" s="64">
        <v>0</v>
      </c>
      <c r="Q5" s="65">
        <v>17961.96</v>
      </c>
      <c r="R5" s="74"/>
      <c r="S5" s="74"/>
      <c r="T5" s="76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</row>
    <row r="6" spans="1:32" x14ac:dyDescent="0.3">
      <c r="A6" s="60">
        <v>5</v>
      </c>
      <c r="B6" s="91" t="s">
        <v>320</v>
      </c>
      <c r="C6" s="62">
        <v>45847</v>
      </c>
      <c r="D6" s="63" t="s">
        <v>132</v>
      </c>
      <c r="E6" s="64" t="s">
        <v>85</v>
      </c>
      <c r="F6" s="75">
        <v>4911</v>
      </c>
      <c r="G6" s="75">
        <v>5</v>
      </c>
      <c r="H6" s="68"/>
      <c r="I6" s="68"/>
      <c r="J6" s="68"/>
      <c r="K6" s="68"/>
      <c r="L6" s="75">
        <v>2205</v>
      </c>
      <c r="M6" s="64">
        <v>0</v>
      </c>
      <c r="N6" s="64">
        <v>0</v>
      </c>
      <c r="O6" s="64">
        <v>396.9</v>
      </c>
      <c r="P6" s="64">
        <v>0</v>
      </c>
      <c r="Q6" s="65">
        <v>2601.9</v>
      </c>
      <c r="R6" s="74"/>
      <c r="S6" s="92"/>
      <c r="T6" s="93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</row>
    <row r="7" spans="1:32" x14ac:dyDescent="0.3">
      <c r="A7" s="60">
        <v>6</v>
      </c>
      <c r="B7" s="78" t="s">
        <v>321</v>
      </c>
      <c r="C7" s="62">
        <v>45847</v>
      </c>
      <c r="D7" s="63" t="s">
        <v>132</v>
      </c>
      <c r="E7" s="64" t="s">
        <v>85</v>
      </c>
      <c r="F7" s="68"/>
      <c r="G7" s="68"/>
      <c r="H7" s="68"/>
      <c r="I7" s="68"/>
      <c r="J7" s="75">
        <v>4911</v>
      </c>
      <c r="K7" s="68"/>
      <c r="L7" s="75">
        <v>15000</v>
      </c>
      <c r="M7" s="64">
        <v>0</v>
      </c>
      <c r="N7" s="64">
        <v>0</v>
      </c>
      <c r="O7" s="64">
        <v>2700</v>
      </c>
      <c r="P7" s="64">
        <v>0</v>
      </c>
      <c r="Q7" s="65">
        <v>17700</v>
      </c>
      <c r="R7" s="94"/>
      <c r="S7" s="95" t="s">
        <v>310</v>
      </c>
      <c r="T7" s="96">
        <v>134200.28</v>
      </c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</row>
    <row r="8" spans="1:32" x14ac:dyDescent="0.3">
      <c r="A8" s="60">
        <v>7</v>
      </c>
      <c r="B8" s="78" t="s">
        <v>322</v>
      </c>
      <c r="C8" s="62">
        <v>45847</v>
      </c>
      <c r="D8" s="63" t="s">
        <v>145</v>
      </c>
      <c r="E8" s="64" t="s">
        <v>146</v>
      </c>
      <c r="F8" s="68"/>
      <c r="G8" s="68"/>
      <c r="H8" s="68"/>
      <c r="I8" s="68"/>
      <c r="J8" s="75">
        <v>9999</v>
      </c>
      <c r="K8" s="68"/>
      <c r="L8" s="75">
        <v>28000</v>
      </c>
      <c r="M8" s="64">
        <v>2520</v>
      </c>
      <c r="N8" s="64">
        <v>2520</v>
      </c>
      <c r="O8" s="64">
        <v>0</v>
      </c>
      <c r="P8" s="64">
        <v>0</v>
      </c>
      <c r="Q8" s="65">
        <v>33040</v>
      </c>
      <c r="R8" s="94"/>
      <c r="S8" s="95" t="s">
        <v>311</v>
      </c>
      <c r="T8" s="97">
        <v>78548.666400000002</v>
      </c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</row>
    <row r="9" spans="1:32" x14ac:dyDescent="0.3">
      <c r="A9" s="60">
        <v>8</v>
      </c>
      <c r="B9" s="61" t="s">
        <v>323</v>
      </c>
      <c r="C9" s="62">
        <v>45847</v>
      </c>
      <c r="D9" s="63" t="s">
        <v>45</v>
      </c>
      <c r="E9" s="64" t="s">
        <v>46</v>
      </c>
      <c r="F9" s="75">
        <v>4820</v>
      </c>
      <c r="G9" s="68"/>
      <c r="H9" s="75">
        <v>6</v>
      </c>
      <c r="I9" s="68"/>
      <c r="J9" s="68"/>
      <c r="K9" s="68"/>
      <c r="L9" s="75">
        <v>2480</v>
      </c>
      <c r="M9" s="64">
        <v>223.2</v>
      </c>
      <c r="N9" s="64">
        <v>223.2</v>
      </c>
      <c r="O9" s="64">
        <v>0</v>
      </c>
      <c r="P9" s="64">
        <v>0</v>
      </c>
      <c r="Q9" s="65">
        <v>2926.4</v>
      </c>
      <c r="R9" s="94"/>
      <c r="S9" s="95" t="s">
        <v>312</v>
      </c>
      <c r="T9" s="96">
        <v>55651.62</v>
      </c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</row>
    <row r="10" spans="1:32" x14ac:dyDescent="0.3">
      <c r="A10" s="60">
        <v>9</v>
      </c>
      <c r="B10" s="78" t="s">
        <v>324</v>
      </c>
      <c r="C10" s="62">
        <v>45849</v>
      </c>
      <c r="D10" s="63" t="s">
        <v>132</v>
      </c>
      <c r="E10" s="64" t="s">
        <v>85</v>
      </c>
      <c r="F10" s="75">
        <v>4911</v>
      </c>
      <c r="G10" s="75">
        <v>6</v>
      </c>
      <c r="H10" s="68"/>
      <c r="I10" s="68"/>
      <c r="J10" s="68"/>
      <c r="K10" s="68"/>
      <c r="L10" s="75">
        <v>4104</v>
      </c>
      <c r="M10" s="64">
        <v>0</v>
      </c>
      <c r="N10" s="64">
        <v>0</v>
      </c>
      <c r="O10" s="64">
        <v>738.72</v>
      </c>
      <c r="P10" s="64">
        <v>0</v>
      </c>
      <c r="Q10" s="65">
        <v>4842.72</v>
      </c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</row>
    <row r="11" spans="1:32" x14ac:dyDescent="0.3">
      <c r="A11" s="60">
        <v>10</v>
      </c>
      <c r="B11" s="91" t="s">
        <v>325</v>
      </c>
      <c r="C11" s="62">
        <v>45849</v>
      </c>
      <c r="D11" s="63" t="s">
        <v>326</v>
      </c>
      <c r="E11" s="64" t="s">
        <v>85</v>
      </c>
      <c r="F11" s="75">
        <v>4911</v>
      </c>
      <c r="G11" s="75">
        <v>143</v>
      </c>
      <c r="H11" s="68"/>
      <c r="I11" s="68"/>
      <c r="J11" s="68"/>
      <c r="K11" s="68"/>
      <c r="L11" s="75">
        <v>19000</v>
      </c>
      <c r="M11" s="64">
        <v>0</v>
      </c>
      <c r="N11" s="64">
        <v>0</v>
      </c>
      <c r="O11" s="64">
        <v>3420</v>
      </c>
      <c r="P11" s="64">
        <v>0</v>
      </c>
      <c r="Q11" s="65">
        <v>22420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</row>
    <row r="12" spans="1:32" x14ac:dyDescent="0.3">
      <c r="A12" s="60">
        <v>11</v>
      </c>
      <c r="B12" s="61" t="s">
        <v>327</v>
      </c>
      <c r="C12" s="62">
        <v>45850</v>
      </c>
      <c r="D12" s="63" t="s">
        <v>148</v>
      </c>
      <c r="E12" s="64" t="s">
        <v>49</v>
      </c>
      <c r="F12" s="75">
        <v>49110000</v>
      </c>
      <c r="G12" s="75">
        <v>8000</v>
      </c>
      <c r="H12" s="68"/>
      <c r="I12" s="68"/>
      <c r="J12" s="68"/>
      <c r="K12" s="68"/>
      <c r="L12" s="75">
        <v>64402.2</v>
      </c>
      <c r="M12" s="64">
        <v>0</v>
      </c>
      <c r="N12" s="64">
        <v>0</v>
      </c>
      <c r="O12" s="64">
        <v>11592.396000000001</v>
      </c>
      <c r="P12" s="64">
        <v>0</v>
      </c>
      <c r="Q12" s="65">
        <v>75994.600000000006</v>
      </c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</row>
    <row r="13" spans="1:32" x14ac:dyDescent="0.3">
      <c r="A13" s="60">
        <v>12</v>
      </c>
      <c r="B13" s="61" t="s">
        <v>328</v>
      </c>
      <c r="C13" s="62">
        <v>45852</v>
      </c>
      <c r="D13" s="63" t="s">
        <v>329</v>
      </c>
      <c r="E13" s="64" t="s">
        <v>330</v>
      </c>
      <c r="F13" s="75">
        <v>3923</v>
      </c>
      <c r="G13" s="68"/>
      <c r="H13" s="68"/>
      <c r="I13" s="75">
        <v>90</v>
      </c>
      <c r="J13" s="68"/>
      <c r="K13" s="68"/>
      <c r="L13" s="75">
        <v>7128</v>
      </c>
      <c r="M13" s="64">
        <v>641.52</v>
      </c>
      <c r="N13" s="64">
        <v>641.52</v>
      </c>
      <c r="O13" s="64">
        <v>0</v>
      </c>
      <c r="P13" s="64">
        <v>0</v>
      </c>
      <c r="Q13" s="65">
        <v>8411.0400000000009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</row>
    <row r="14" spans="1:32" x14ac:dyDescent="0.3">
      <c r="A14" s="60">
        <v>13</v>
      </c>
      <c r="B14" s="78" t="s">
        <v>331</v>
      </c>
      <c r="C14" s="62">
        <v>45854</v>
      </c>
      <c r="D14" s="63" t="s">
        <v>132</v>
      </c>
      <c r="E14" s="64" t="s">
        <v>85</v>
      </c>
      <c r="F14" s="75">
        <v>9403</v>
      </c>
      <c r="G14" s="75">
        <v>1</v>
      </c>
      <c r="H14" s="68"/>
      <c r="I14" s="68"/>
      <c r="J14" s="68"/>
      <c r="K14" s="68"/>
      <c r="L14" s="75">
        <v>8439</v>
      </c>
      <c r="M14" s="64">
        <v>0</v>
      </c>
      <c r="N14" s="64">
        <v>0</v>
      </c>
      <c r="O14" s="64">
        <v>1519.02</v>
      </c>
      <c r="P14" s="64">
        <v>0</v>
      </c>
      <c r="Q14" s="65">
        <v>9958.02</v>
      </c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</row>
    <row r="15" spans="1:32" x14ac:dyDescent="0.3">
      <c r="A15" s="60">
        <v>14</v>
      </c>
      <c r="B15" s="78" t="s">
        <v>332</v>
      </c>
      <c r="C15" s="62">
        <v>45854</v>
      </c>
      <c r="D15" s="63" t="s">
        <v>132</v>
      </c>
      <c r="E15" s="64" t="s">
        <v>85</v>
      </c>
      <c r="F15" s="75">
        <v>3919</v>
      </c>
      <c r="G15" s="75">
        <v>1200</v>
      </c>
      <c r="H15" s="68"/>
      <c r="I15" s="68"/>
      <c r="J15" s="68"/>
      <c r="K15" s="68"/>
      <c r="L15" s="75">
        <v>3000</v>
      </c>
      <c r="M15" s="64">
        <v>0</v>
      </c>
      <c r="N15" s="64">
        <v>0</v>
      </c>
      <c r="O15" s="64">
        <v>540</v>
      </c>
      <c r="P15" s="64">
        <v>0</v>
      </c>
      <c r="Q15" s="65">
        <v>3540</v>
      </c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</row>
    <row r="16" spans="1:32" x14ac:dyDescent="0.3">
      <c r="A16" s="60">
        <v>15</v>
      </c>
      <c r="B16" s="78" t="s">
        <v>333</v>
      </c>
      <c r="C16" s="62">
        <v>45854</v>
      </c>
      <c r="D16" s="63" t="s">
        <v>145</v>
      </c>
      <c r="E16" s="64" t="s">
        <v>146</v>
      </c>
      <c r="F16" s="75">
        <v>8481</v>
      </c>
      <c r="G16" s="75">
        <v>20</v>
      </c>
      <c r="H16" s="68"/>
      <c r="I16" s="68"/>
      <c r="J16" s="68"/>
      <c r="K16" s="68"/>
      <c r="L16" s="75">
        <v>8400</v>
      </c>
      <c r="M16" s="64">
        <v>756</v>
      </c>
      <c r="N16" s="64">
        <v>756</v>
      </c>
      <c r="O16" s="64">
        <v>0</v>
      </c>
      <c r="P16" s="64">
        <v>0</v>
      </c>
      <c r="Q16" s="65">
        <v>9912</v>
      </c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</row>
    <row r="17" spans="1:32" x14ac:dyDescent="0.3">
      <c r="A17" s="60">
        <v>16</v>
      </c>
      <c r="B17" s="61" t="s">
        <v>334</v>
      </c>
      <c r="C17" s="62">
        <v>45855</v>
      </c>
      <c r="D17" s="63" t="s">
        <v>277</v>
      </c>
      <c r="E17" s="64" t="s">
        <v>55</v>
      </c>
      <c r="F17" s="75">
        <v>4820</v>
      </c>
      <c r="G17" s="75">
        <v>18</v>
      </c>
      <c r="H17" s="68"/>
      <c r="I17" s="68"/>
      <c r="J17" s="68"/>
      <c r="K17" s="68"/>
      <c r="L17" s="75">
        <v>2610</v>
      </c>
      <c r="M17" s="64">
        <v>234.9</v>
      </c>
      <c r="N17" s="64">
        <v>234.9</v>
      </c>
      <c r="O17" s="64">
        <v>0</v>
      </c>
      <c r="P17" s="64">
        <v>0</v>
      </c>
      <c r="Q17" s="65">
        <v>3079.8</v>
      </c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</row>
    <row r="18" spans="1:32" x14ac:dyDescent="0.3">
      <c r="A18" s="60">
        <v>17</v>
      </c>
      <c r="B18" s="61" t="s">
        <v>335</v>
      </c>
      <c r="C18" s="62">
        <v>45855</v>
      </c>
      <c r="D18" s="63" t="s">
        <v>135</v>
      </c>
      <c r="E18" s="64" t="s">
        <v>94</v>
      </c>
      <c r="F18" s="75">
        <v>4911</v>
      </c>
      <c r="G18" s="75">
        <v>6</v>
      </c>
      <c r="H18" s="68"/>
      <c r="I18" s="68"/>
      <c r="J18" s="68"/>
      <c r="K18" s="68"/>
      <c r="L18" s="75">
        <v>3860</v>
      </c>
      <c r="M18" s="64">
        <v>347.4</v>
      </c>
      <c r="N18" s="64">
        <v>347.4</v>
      </c>
      <c r="O18" s="64">
        <v>0</v>
      </c>
      <c r="P18" s="64">
        <v>0</v>
      </c>
      <c r="Q18" s="65">
        <v>4554.8</v>
      </c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</row>
    <row r="19" spans="1:32" x14ac:dyDescent="0.3">
      <c r="A19" s="60">
        <v>18</v>
      </c>
      <c r="B19" s="61" t="s">
        <v>336</v>
      </c>
      <c r="C19" s="62">
        <v>45855</v>
      </c>
      <c r="D19" s="63" t="s">
        <v>337</v>
      </c>
      <c r="E19" s="64" t="s">
        <v>46</v>
      </c>
      <c r="F19" s="75">
        <v>4820</v>
      </c>
      <c r="G19" s="68"/>
      <c r="H19" s="68"/>
      <c r="I19" s="68"/>
      <c r="J19" s="68"/>
      <c r="K19" s="68"/>
      <c r="L19" s="75">
        <v>1680</v>
      </c>
      <c r="M19" s="64">
        <v>151.19999999999999</v>
      </c>
      <c r="N19" s="64">
        <v>151.19999999999999</v>
      </c>
      <c r="O19" s="64">
        <v>0</v>
      </c>
      <c r="P19" s="64">
        <v>0</v>
      </c>
      <c r="Q19" s="65">
        <v>1982.4</v>
      </c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</row>
    <row r="20" spans="1:32" x14ac:dyDescent="0.3">
      <c r="A20" s="60">
        <v>19</v>
      </c>
      <c r="B20" s="61" t="s">
        <v>338</v>
      </c>
      <c r="C20" s="62">
        <v>45856</v>
      </c>
      <c r="D20" s="63" t="s">
        <v>339</v>
      </c>
      <c r="E20" s="64" t="s">
        <v>58</v>
      </c>
      <c r="F20" s="75">
        <v>4911</v>
      </c>
      <c r="G20" s="68"/>
      <c r="H20" s="68"/>
      <c r="I20" s="75">
        <v>85</v>
      </c>
      <c r="J20" s="68"/>
      <c r="K20" s="68"/>
      <c r="L20" s="98">
        <v>6290</v>
      </c>
      <c r="M20" s="64">
        <v>566.1</v>
      </c>
      <c r="N20" s="64">
        <v>566.1</v>
      </c>
      <c r="O20" s="64">
        <v>0</v>
      </c>
      <c r="P20" s="64">
        <v>0</v>
      </c>
      <c r="Q20" s="65">
        <v>7422.2</v>
      </c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</row>
    <row r="21" spans="1:32" x14ac:dyDescent="0.3">
      <c r="A21" s="60">
        <v>20</v>
      </c>
      <c r="B21" s="61" t="s">
        <v>340</v>
      </c>
      <c r="C21" s="62">
        <v>45856</v>
      </c>
      <c r="D21" s="63" t="s">
        <v>339</v>
      </c>
      <c r="E21" s="64" t="s">
        <v>58</v>
      </c>
      <c r="F21" s="75">
        <v>4911</v>
      </c>
      <c r="G21" s="75">
        <v>20</v>
      </c>
      <c r="H21" s="68"/>
      <c r="I21" s="68"/>
      <c r="J21" s="68"/>
      <c r="K21" s="68"/>
      <c r="L21" s="75">
        <v>18000</v>
      </c>
      <c r="M21" s="64">
        <v>1620</v>
      </c>
      <c r="N21" s="64">
        <v>1620</v>
      </c>
      <c r="O21" s="64">
        <v>0</v>
      </c>
      <c r="P21" s="64">
        <v>0</v>
      </c>
      <c r="Q21" s="65">
        <v>21240</v>
      </c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</row>
    <row r="22" spans="1:32" x14ac:dyDescent="0.3">
      <c r="A22" s="60">
        <v>21</v>
      </c>
      <c r="B22" s="78" t="s">
        <v>341</v>
      </c>
      <c r="C22" s="62">
        <v>45857</v>
      </c>
      <c r="D22" s="63" t="s">
        <v>145</v>
      </c>
      <c r="E22" s="64" t="s">
        <v>146</v>
      </c>
      <c r="F22" s="75">
        <v>8517</v>
      </c>
      <c r="G22" s="75">
        <v>1</v>
      </c>
      <c r="H22" s="68"/>
      <c r="I22" s="68"/>
      <c r="J22" s="68"/>
      <c r="K22" s="68"/>
      <c r="L22" s="75">
        <v>1101.7</v>
      </c>
      <c r="M22" s="64">
        <v>99.153000000000006</v>
      </c>
      <c r="N22" s="64">
        <v>99.153000000000006</v>
      </c>
      <c r="O22" s="64">
        <v>0</v>
      </c>
      <c r="P22" s="64">
        <v>0</v>
      </c>
      <c r="Q22" s="65">
        <v>1300.01</v>
      </c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x14ac:dyDescent="0.3">
      <c r="A23" s="60">
        <v>22</v>
      </c>
      <c r="B23" s="61" t="s">
        <v>342</v>
      </c>
      <c r="C23" s="62">
        <v>45859</v>
      </c>
      <c r="D23" s="63" t="s">
        <v>291</v>
      </c>
      <c r="E23" s="64" t="s">
        <v>292</v>
      </c>
      <c r="F23" s="75">
        <v>4911</v>
      </c>
      <c r="G23" s="68"/>
      <c r="H23" s="68"/>
      <c r="I23" s="75">
        <v>42</v>
      </c>
      <c r="J23" s="68"/>
      <c r="K23" s="68"/>
      <c r="L23" s="75">
        <v>5164.6000000000004</v>
      </c>
      <c r="M23" s="64">
        <v>0</v>
      </c>
      <c r="N23" s="64">
        <v>0</v>
      </c>
      <c r="O23" s="64">
        <v>929.62800000000004</v>
      </c>
      <c r="P23" s="64">
        <v>0</v>
      </c>
      <c r="Q23" s="65">
        <v>6094.23</v>
      </c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x14ac:dyDescent="0.3">
      <c r="A24" s="60">
        <v>23</v>
      </c>
      <c r="B24" s="61" t="s">
        <v>343</v>
      </c>
      <c r="C24" s="62">
        <v>45859</v>
      </c>
      <c r="D24" s="63" t="s">
        <v>75</v>
      </c>
      <c r="E24" s="64" t="s">
        <v>76</v>
      </c>
      <c r="F24" s="75">
        <v>3919</v>
      </c>
      <c r="G24" s="75">
        <v>530</v>
      </c>
      <c r="H24" s="68"/>
      <c r="I24" s="68"/>
      <c r="J24" s="68"/>
      <c r="K24" s="68"/>
      <c r="L24" s="75">
        <v>5830</v>
      </c>
      <c r="M24" s="64">
        <v>0</v>
      </c>
      <c r="N24" s="64">
        <v>0</v>
      </c>
      <c r="O24" s="64">
        <v>1049.4000000000001</v>
      </c>
      <c r="P24" s="64">
        <v>0</v>
      </c>
      <c r="Q24" s="65">
        <v>6879.4</v>
      </c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x14ac:dyDescent="0.3">
      <c r="A25" s="60">
        <v>24</v>
      </c>
      <c r="B25" s="61" t="s">
        <v>344</v>
      </c>
      <c r="C25" s="62">
        <v>45860</v>
      </c>
      <c r="D25" s="63" t="s">
        <v>141</v>
      </c>
      <c r="E25" s="64" t="s">
        <v>142</v>
      </c>
      <c r="F25" s="75">
        <v>8703</v>
      </c>
      <c r="G25" s="75">
        <v>50000</v>
      </c>
      <c r="H25" s="68"/>
      <c r="I25" s="68"/>
      <c r="J25" s="68"/>
      <c r="K25" s="68"/>
      <c r="L25" s="75">
        <v>9500</v>
      </c>
      <c r="M25" s="64">
        <v>0</v>
      </c>
      <c r="N25" s="64">
        <v>0</v>
      </c>
      <c r="O25" s="64">
        <v>1710</v>
      </c>
      <c r="P25" s="64">
        <v>0</v>
      </c>
      <c r="Q25" s="65">
        <v>11210</v>
      </c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x14ac:dyDescent="0.3">
      <c r="A26" s="60">
        <v>25</v>
      </c>
      <c r="B26" s="61" t="s">
        <v>345</v>
      </c>
      <c r="C26" s="62">
        <v>45860</v>
      </c>
      <c r="D26" s="63" t="s">
        <v>141</v>
      </c>
      <c r="E26" s="64" t="s">
        <v>142</v>
      </c>
      <c r="F26" s="75">
        <v>8703</v>
      </c>
      <c r="G26" s="75">
        <v>50000</v>
      </c>
      <c r="H26" s="68"/>
      <c r="I26" s="68"/>
      <c r="J26" s="68"/>
      <c r="K26" s="68"/>
      <c r="L26" s="75">
        <v>9500</v>
      </c>
      <c r="M26" s="64">
        <v>0</v>
      </c>
      <c r="N26" s="64">
        <v>0</v>
      </c>
      <c r="O26" s="64">
        <v>1710</v>
      </c>
      <c r="P26" s="64">
        <v>0</v>
      </c>
      <c r="Q26" s="65">
        <v>11210</v>
      </c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x14ac:dyDescent="0.3">
      <c r="A27" s="60">
        <v>26</v>
      </c>
      <c r="B27" s="61" t="s">
        <v>346</v>
      </c>
      <c r="C27" s="62">
        <v>45862</v>
      </c>
      <c r="D27" s="63" t="s">
        <v>347</v>
      </c>
      <c r="E27" s="64" t="s">
        <v>49</v>
      </c>
      <c r="F27" s="75">
        <v>49110000</v>
      </c>
      <c r="G27" s="75">
        <v>23820</v>
      </c>
      <c r="H27" s="68"/>
      <c r="I27" s="68"/>
      <c r="J27" s="68"/>
      <c r="K27" s="68"/>
      <c r="L27" s="75">
        <v>68158.45</v>
      </c>
      <c r="M27" s="64">
        <v>0</v>
      </c>
      <c r="N27" s="64">
        <v>0</v>
      </c>
      <c r="O27" s="64">
        <v>12268.521000000001</v>
      </c>
      <c r="P27" s="64">
        <v>0</v>
      </c>
      <c r="Q27" s="65">
        <v>80426.97</v>
      </c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</row>
    <row r="28" spans="1:32" x14ac:dyDescent="0.3">
      <c r="A28" s="60">
        <v>27</v>
      </c>
      <c r="B28" s="61" t="s">
        <v>348</v>
      </c>
      <c r="C28" s="62">
        <v>45862</v>
      </c>
      <c r="D28" s="63" t="s">
        <v>51</v>
      </c>
      <c r="E28" s="64" t="s">
        <v>52</v>
      </c>
      <c r="F28" s="75">
        <v>7219</v>
      </c>
      <c r="G28" s="75">
        <v>25</v>
      </c>
      <c r="H28" s="68"/>
      <c r="I28" s="68"/>
      <c r="J28" s="68"/>
      <c r="K28" s="68"/>
      <c r="L28" s="75">
        <v>26250</v>
      </c>
      <c r="M28" s="64">
        <v>0</v>
      </c>
      <c r="N28" s="64">
        <v>0</v>
      </c>
      <c r="O28" s="64">
        <v>4725</v>
      </c>
      <c r="P28" s="64">
        <v>0</v>
      </c>
      <c r="Q28" s="65">
        <v>30975</v>
      </c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</row>
    <row r="29" spans="1:32" x14ac:dyDescent="0.3">
      <c r="A29" s="60">
        <v>28</v>
      </c>
      <c r="B29" s="61" t="s">
        <v>349</v>
      </c>
      <c r="C29" s="62">
        <v>45863</v>
      </c>
      <c r="D29" s="63" t="s">
        <v>277</v>
      </c>
      <c r="E29" s="64" t="s">
        <v>55</v>
      </c>
      <c r="F29" s="75">
        <v>3920</v>
      </c>
      <c r="G29" s="75">
        <v>200</v>
      </c>
      <c r="H29" s="68"/>
      <c r="I29" s="68"/>
      <c r="J29" s="68"/>
      <c r="K29" s="68"/>
      <c r="L29" s="75">
        <v>17861</v>
      </c>
      <c r="M29" s="64">
        <v>1607.49</v>
      </c>
      <c r="N29" s="64">
        <v>1607.49</v>
      </c>
      <c r="O29" s="64">
        <v>0</v>
      </c>
      <c r="P29" s="64">
        <v>0</v>
      </c>
      <c r="Q29" s="65">
        <v>21075.98</v>
      </c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</row>
    <row r="30" spans="1:32" x14ac:dyDescent="0.3">
      <c r="A30" s="60">
        <v>29</v>
      </c>
      <c r="B30" s="78" t="s">
        <v>350</v>
      </c>
      <c r="C30" s="62">
        <v>45863</v>
      </c>
      <c r="D30" s="63" t="s">
        <v>132</v>
      </c>
      <c r="E30" s="64" t="s">
        <v>85</v>
      </c>
      <c r="F30" s="75">
        <v>8518</v>
      </c>
      <c r="G30" s="75">
        <v>6</v>
      </c>
      <c r="H30" s="68"/>
      <c r="I30" s="68"/>
      <c r="J30" s="68"/>
      <c r="K30" s="68"/>
      <c r="L30" s="75">
        <v>4200</v>
      </c>
      <c r="M30" s="64">
        <v>0</v>
      </c>
      <c r="N30" s="64">
        <v>0</v>
      </c>
      <c r="O30" s="64">
        <v>756</v>
      </c>
      <c r="P30" s="64">
        <v>0</v>
      </c>
      <c r="Q30" s="65">
        <v>4956</v>
      </c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</row>
    <row r="31" spans="1:32" x14ac:dyDescent="0.3">
      <c r="A31" s="60">
        <v>30</v>
      </c>
      <c r="B31" s="61" t="s">
        <v>351</v>
      </c>
      <c r="C31" s="62">
        <v>45863</v>
      </c>
      <c r="D31" s="63" t="s">
        <v>148</v>
      </c>
      <c r="E31" s="64" t="s">
        <v>49</v>
      </c>
      <c r="F31" s="75">
        <v>49110000</v>
      </c>
      <c r="G31" s="75">
        <v>14814</v>
      </c>
      <c r="H31" s="68"/>
      <c r="I31" s="68"/>
      <c r="J31" s="68"/>
      <c r="K31" s="68"/>
      <c r="L31" s="75">
        <v>55996.92</v>
      </c>
      <c r="M31" s="64">
        <v>0</v>
      </c>
      <c r="N31" s="64">
        <v>0</v>
      </c>
      <c r="O31" s="64">
        <v>10079.445599999999</v>
      </c>
      <c r="P31" s="64">
        <v>0</v>
      </c>
      <c r="Q31" s="65">
        <v>66076.37</v>
      </c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</row>
    <row r="32" spans="1:32" x14ac:dyDescent="0.3">
      <c r="A32" s="60">
        <v>31</v>
      </c>
      <c r="B32" s="61" t="s">
        <v>352</v>
      </c>
      <c r="C32" s="62">
        <v>45864</v>
      </c>
      <c r="D32" s="63" t="s">
        <v>353</v>
      </c>
      <c r="E32" s="64" t="s">
        <v>43</v>
      </c>
      <c r="F32" s="75">
        <v>4820</v>
      </c>
      <c r="G32" s="75">
        <v>85</v>
      </c>
      <c r="H32" s="68"/>
      <c r="I32" s="68"/>
      <c r="J32" s="68"/>
      <c r="K32" s="68"/>
      <c r="L32" s="75">
        <v>14740</v>
      </c>
      <c r="M32" s="64">
        <v>1326.6</v>
      </c>
      <c r="N32" s="64">
        <v>1326.6</v>
      </c>
      <c r="O32" s="64">
        <v>0</v>
      </c>
      <c r="P32" s="64">
        <v>0</v>
      </c>
      <c r="Q32" s="65">
        <v>17393.2</v>
      </c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</row>
    <row r="33" spans="1:32" x14ac:dyDescent="0.3">
      <c r="A33" s="60">
        <v>32</v>
      </c>
      <c r="B33" s="61" t="s">
        <v>354</v>
      </c>
      <c r="C33" s="62">
        <v>45864</v>
      </c>
      <c r="D33" s="63" t="s">
        <v>353</v>
      </c>
      <c r="E33" s="64" t="s">
        <v>43</v>
      </c>
      <c r="F33" s="75">
        <v>8310</v>
      </c>
      <c r="G33" s="75">
        <v>400</v>
      </c>
      <c r="H33" s="68"/>
      <c r="I33" s="68"/>
      <c r="J33" s="68"/>
      <c r="K33" s="68"/>
      <c r="L33" s="75">
        <v>5600</v>
      </c>
      <c r="M33" s="64">
        <v>504</v>
      </c>
      <c r="N33" s="64">
        <v>504</v>
      </c>
      <c r="O33" s="64">
        <v>0</v>
      </c>
      <c r="P33" s="64">
        <v>0</v>
      </c>
      <c r="Q33" s="65">
        <v>6608</v>
      </c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</row>
    <row r="34" spans="1:32" x14ac:dyDescent="0.3">
      <c r="A34" s="60">
        <v>33</v>
      </c>
      <c r="B34" s="61" t="s">
        <v>355</v>
      </c>
      <c r="C34" s="62">
        <v>45864</v>
      </c>
      <c r="D34" s="63" t="s">
        <v>353</v>
      </c>
      <c r="E34" s="64" t="s">
        <v>43</v>
      </c>
      <c r="F34" s="75">
        <v>4911</v>
      </c>
      <c r="G34" s="68"/>
      <c r="H34" s="68"/>
      <c r="I34" s="75">
        <v>509</v>
      </c>
      <c r="J34" s="68"/>
      <c r="K34" s="68"/>
      <c r="L34" s="75">
        <v>48866</v>
      </c>
      <c r="M34" s="64">
        <v>4397.9399999999996</v>
      </c>
      <c r="N34" s="64">
        <v>4397.9399999999996</v>
      </c>
      <c r="O34" s="64">
        <v>0</v>
      </c>
      <c r="P34" s="64">
        <v>0</v>
      </c>
      <c r="Q34" s="65">
        <v>57661.88</v>
      </c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</row>
    <row r="35" spans="1:32" x14ac:dyDescent="0.3">
      <c r="A35" s="60">
        <v>34</v>
      </c>
      <c r="B35" s="61" t="s">
        <v>356</v>
      </c>
      <c r="C35" s="62">
        <v>45864</v>
      </c>
      <c r="D35" s="63" t="s">
        <v>353</v>
      </c>
      <c r="E35" s="64" t="s">
        <v>43</v>
      </c>
      <c r="F35" s="75">
        <v>4820</v>
      </c>
      <c r="G35" s="68"/>
      <c r="H35" s="68"/>
      <c r="I35" s="75">
        <v>277.77</v>
      </c>
      <c r="J35" s="68"/>
      <c r="K35" s="68"/>
      <c r="L35" s="75">
        <v>2540</v>
      </c>
      <c r="M35" s="64">
        <v>228.6</v>
      </c>
      <c r="N35" s="64">
        <v>228.6</v>
      </c>
      <c r="O35" s="64">
        <v>0</v>
      </c>
      <c r="P35" s="64">
        <v>0</v>
      </c>
      <c r="Q35" s="65">
        <v>2997.2</v>
      </c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</row>
    <row r="36" spans="1:32" x14ac:dyDescent="0.3">
      <c r="A36" s="60">
        <v>35</v>
      </c>
      <c r="B36" s="61" t="s">
        <v>357</v>
      </c>
      <c r="C36" s="62">
        <v>45866</v>
      </c>
      <c r="D36" s="63" t="s">
        <v>75</v>
      </c>
      <c r="E36" s="64" t="s">
        <v>76</v>
      </c>
      <c r="F36" s="75">
        <v>3919</v>
      </c>
      <c r="G36" s="75">
        <v>100</v>
      </c>
      <c r="H36" s="68"/>
      <c r="I36" s="68"/>
      <c r="J36" s="68"/>
      <c r="K36" s="68"/>
      <c r="L36" s="75">
        <v>1100</v>
      </c>
      <c r="M36" s="64">
        <v>0</v>
      </c>
      <c r="N36" s="64">
        <v>0</v>
      </c>
      <c r="O36" s="64">
        <v>198</v>
      </c>
      <c r="P36" s="64">
        <v>0</v>
      </c>
      <c r="Q36" s="65">
        <v>1298</v>
      </c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</row>
    <row r="37" spans="1:32" x14ac:dyDescent="0.3">
      <c r="A37" s="60">
        <v>36</v>
      </c>
      <c r="B37" s="78" t="s">
        <v>358</v>
      </c>
      <c r="C37" s="62">
        <v>45866</v>
      </c>
      <c r="D37" s="63" t="s">
        <v>145</v>
      </c>
      <c r="E37" s="64" t="s">
        <v>146</v>
      </c>
      <c r="F37" s="75">
        <v>8536</v>
      </c>
      <c r="G37" s="75">
        <v>1</v>
      </c>
      <c r="H37" s="68"/>
      <c r="I37" s="68"/>
      <c r="J37" s="68"/>
      <c r="K37" s="68"/>
      <c r="L37" s="75">
        <v>45000</v>
      </c>
      <c r="M37" s="64">
        <v>4050</v>
      </c>
      <c r="N37" s="64">
        <v>4050</v>
      </c>
      <c r="O37" s="64">
        <v>0</v>
      </c>
      <c r="P37" s="64">
        <v>0</v>
      </c>
      <c r="Q37" s="65">
        <v>53100</v>
      </c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</row>
    <row r="38" spans="1:32" x14ac:dyDescent="0.3">
      <c r="A38" s="60">
        <v>37</v>
      </c>
      <c r="B38" s="61" t="s">
        <v>359</v>
      </c>
      <c r="C38" s="62">
        <v>45867</v>
      </c>
      <c r="D38" s="63" t="s">
        <v>141</v>
      </c>
      <c r="E38" s="64" t="s">
        <v>142</v>
      </c>
      <c r="F38" s="75">
        <v>3919</v>
      </c>
      <c r="G38" s="68"/>
      <c r="H38" s="68"/>
      <c r="I38" s="75">
        <v>1944.44</v>
      </c>
      <c r="J38" s="68"/>
      <c r="K38" s="68"/>
      <c r="L38" s="75">
        <v>112800</v>
      </c>
      <c r="M38" s="64">
        <v>0</v>
      </c>
      <c r="N38" s="64">
        <v>0</v>
      </c>
      <c r="O38" s="64">
        <v>20304</v>
      </c>
      <c r="P38" s="64">
        <v>0</v>
      </c>
      <c r="Q38" s="65">
        <v>133104</v>
      </c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</row>
    <row r="39" spans="1:32" x14ac:dyDescent="0.3">
      <c r="A39" s="60">
        <v>38</v>
      </c>
      <c r="B39" s="61" t="s">
        <v>360</v>
      </c>
      <c r="C39" s="62">
        <v>45867</v>
      </c>
      <c r="D39" s="63" t="s">
        <v>141</v>
      </c>
      <c r="E39" s="64" t="s">
        <v>142</v>
      </c>
      <c r="F39" s="75">
        <v>3919</v>
      </c>
      <c r="G39" s="68"/>
      <c r="H39" s="68"/>
      <c r="I39" s="75">
        <v>694.44</v>
      </c>
      <c r="J39" s="68"/>
      <c r="K39" s="68"/>
      <c r="L39" s="75">
        <v>54630</v>
      </c>
      <c r="M39" s="64">
        <v>0</v>
      </c>
      <c r="N39" s="64">
        <v>0</v>
      </c>
      <c r="O39" s="64">
        <v>9833.4</v>
      </c>
      <c r="P39" s="64">
        <v>0</v>
      </c>
      <c r="Q39" s="65">
        <v>64463.4</v>
      </c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</row>
    <row r="40" spans="1:32" x14ac:dyDescent="0.3">
      <c r="A40" s="60">
        <v>39</v>
      </c>
      <c r="B40" s="61" t="s">
        <v>361</v>
      </c>
      <c r="C40" s="62">
        <v>45867</v>
      </c>
      <c r="D40" s="63" t="s">
        <v>141</v>
      </c>
      <c r="E40" s="64" t="s">
        <v>142</v>
      </c>
      <c r="F40" s="75">
        <v>4911</v>
      </c>
      <c r="G40" s="68"/>
      <c r="H40" s="68"/>
      <c r="I40" s="75">
        <v>175.49</v>
      </c>
      <c r="J40" s="68"/>
      <c r="K40" s="68"/>
      <c r="L40" s="75">
        <v>3538</v>
      </c>
      <c r="M40" s="64">
        <v>0</v>
      </c>
      <c r="N40" s="64">
        <v>0</v>
      </c>
      <c r="O40" s="64">
        <v>636.84</v>
      </c>
      <c r="P40" s="64">
        <v>0</v>
      </c>
      <c r="Q40" s="65">
        <v>4174.84</v>
      </c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</row>
    <row r="41" spans="1:32" x14ac:dyDescent="0.3">
      <c r="A41" s="60">
        <v>40</v>
      </c>
      <c r="B41" s="61" t="s">
        <v>362</v>
      </c>
      <c r="C41" s="62">
        <v>45867</v>
      </c>
      <c r="D41" s="63" t="s">
        <v>363</v>
      </c>
      <c r="E41" s="64" t="s">
        <v>163</v>
      </c>
      <c r="F41" s="75">
        <v>4911</v>
      </c>
      <c r="G41" s="75">
        <v>10</v>
      </c>
      <c r="H41" s="68"/>
      <c r="I41" s="68"/>
      <c r="J41" s="68"/>
      <c r="K41" s="68"/>
      <c r="L41" s="75">
        <v>4800</v>
      </c>
      <c r="M41" s="64">
        <v>0</v>
      </c>
      <c r="N41" s="64">
        <v>0</v>
      </c>
      <c r="O41" s="64">
        <v>864</v>
      </c>
      <c r="P41" s="64">
        <v>0</v>
      </c>
      <c r="Q41" s="65">
        <v>5664</v>
      </c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</row>
    <row r="42" spans="1:32" x14ac:dyDescent="0.3">
      <c r="A42" s="60">
        <v>41</v>
      </c>
      <c r="B42" s="78" t="s">
        <v>364</v>
      </c>
      <c r="C42" s="62">
        <v>45868</v>
      </c>
      <c r="D42" s="63" t="s">
        <v>132</v>
      </c>
      <c r="E42" s="64" t="s">
        <v>85</v>
      </c>
      <c r="F42" s="75">
        <v>3919</v>
      </c>
      <c r="G42" s="75">
        <v>1200</v>
      </c>
      <c r="H42" s="68"/>
      <c r="I42" s="68"/>
      <c r="J42" s="68"/>
      <c r="K42" s="68"/>
      <c r="L42" s="75">
        <v>3000</v>
      </c>
      <c r="M42" s="64">
        <v>0</v>
      </c>
      <c r="N42" s="64">
        <v>0</v>
      </c>
      <c r="O42" s="64">
        <v>540</v>
      </c>
      <c r="P42" s="64">
        <v>0</v>
      </c>
      <c r="Q42" s="65">
        <v>3540</v>
      </c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</row>
    <row r="43" spans="1:32" x14ac:dyDescent="0.3">
      <c r="A43" s="60">
        <v>42</v>
      </c>
      <c r="B43" s="61" t="s">
        <v>365</v>
      </c>
      <c r="C43" s="62">
        <v>45868</v>
      </c>
      <c r="D43" s="63" t="s">
        <v>339</v>
      </c>
      <c r="E43" s="63" t="s">
        <v>58</v>
      </c>
      <c r="F43" s="75">
        <v>4820</v>
      </c>
      <c r="G43" s="68"/>
      <c r="H43" s="68"/>
      <c r="I43" s="75">
        <v>854.1</v>
      </c>
      <c r="J43" s="68"/>
      <c r="K43" s="68"/>
      <c r="L43" s="75">
        <v>4920</v>
      </c>
      <c r="M43" s="64">
        <v>442.8</v>
      </c>
      <c r="N43" s="64">
        <v>442.8</v>
      </c>
      <c r="O43" s="64">
        <v>0</v>
      </c>
      <c r="P43" s="64">
        <v>0</v>
      </c>
      <c r="Q43" s="65">
        <v>5805.6</v>
      </c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</row>
    <row r="44" spans="1:32" x14ac:dyDescent="0.3">
      <c r="A44" s="60">
        <v>43</v>
      </c>
      <c r="B44" s="61" t="s">
        <v>366</v>
      </c>
      <c r="C44" s="62">
        <v>45868</v>
      </c>
      <c r="D44" s="63" t="s">
        <v>339</v>
      </c>
      <c r="E44" s="63" t="s">
        <v>58</v>
      </c>
      <c r="F44" s="75">
        <v>4820</v>
      </c>
      <c r="G44" s="75">
        <v>80</v>
      </c>
      <c r="H44" s="68"/>
      <c r="I44" s="68"/>
      <c r="J44" s="68"/>
      <c r="K44" s="68"/>
      <c r="L44" s="75">
        <v>5840.8</v>
      </c>
      <c r="M44" s="64">
        <v>525.67200000000003</v>
      </c>
      <c r="N44" s="64">
        <v>525.67200000000003</v>
      </c>
      <c r="O44" s="64">
        <v>0</v>
      </c>
      <c r="P44" s="64">
        <v>0</v>
      </c>
      <c r="Q44" s="65">
        <v>6892.14</v>
      </c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</row>
    <row r="45" spans="1:32" x14ac:dyDescent="0.3">
      <c r="A45" s="66"/>
      <c r="B45" s="67"/>
      <c r="C45" s="63"/>
      <c r="D45" s="63"/>
      <c r="E45" s="63"/>
      <c r="F45" s="68"/>
      <c r="G45" s="68"/>
      <c r="H45" s="68"/>
      <c r="I45" s="68"/>
      <c r="J45" s="68"/>
      <c r="K45" s="68"/>
      <c r="L45" s="68"/>
      <c r="M45" s="63"/>
      <c r="N45" s="63"/>
      <c r="O45" s="63"/>
      <c r="P45" s="63"/>
      <c r="Q45" s="68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</row>
    <row r="46" spans="1:32" x14ac:dyDescent="0.3">
      <c r="A46" s="66"/>
      <c r="B46" s="67"/>
      <c r="C46" s="63"/>
      <c r="D46" s="63"/>
      <c r="E46" s="63"/>
      <c r="F46" s="68"/>
      <c r="G46" s="68"/>
      <c r="H46" s="68"/>
      <c r="I46" s="68"/>
      <c r="J46" s="68"/>
      <c r="K46" s="68"/>
      <c r="L46" s="68"/>
      <c r="M46" s="63"/>
      <c r="N46" s="63"/>
      <c r="O46" s="63"/>
      <c r="P46" s="63"/>
      <c r="Q46" s="68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</row>
    <row r="47" spans="1:32" x14ac:dyDescent="0.3">
      <c r="A47" s="66"/>
      <c r="B47" s="67"/>
      <c r="C47" s="63"/>
      <c r="D47" s="63"/>
      <c r="E47" s="63"/>
      <c r="F47" s="68"/>
      <c r="G47" s="68"/>
      <c r="H47" s="68"/>
      <c r="I47" s="68"/>
      <c r="J47" s="68"/>
      <c r="K47" s="68"/>
      <c r="L47" s="68"/>
      <c r="M47" s="63"/>
      <c r="N47" s="63"/>
      <c r="O47" s="63"/>
      <c r="P47" s="63"/>
      <c r="Q47" s="68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</row>
    <row r="48" spans="1:32" x14ac:dyDescent="0.3">
      <c r="A48" s="66"/>
      <c r="B48" s="67"/>
      <c r="C48" s="63"/>
      <c r="D48" s="63"/>
      <c r="E48" s="63"/>
      <c r="F48" s="68"/>
      <c r="G48" s="68"/>
      <c r="H48" s="68"/>
      <c r="I48" s="68"/>
      <c r="J48" s="68"/>
      <c r="K48" s="68"/>
      <c r="L48" s="68"/>
      <c r="M48" s="63"/>
      <c r="N48" s="63"/>
      <c r="O48" s="63"/>
      <c r="P48" s="63"/>
      <c r="Q48" s="68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</row>
    <row r="49" spans="1:32" x14ac:dyDescent="0.3">
      <c r="A49" s="66"/>
      <c r="B49" s="67"/>
      <c r="C49" s="63"/>
      <c r="D49" s="63"/>
      <c r="E49" s="63"/>
      <c r="F49" s="68"/>
      <c r="G49" s="68"/>
      <c r="H49" s="68"/>
      <c r="I49" s="68"/>
      <c r="J49" s="68"/>
      <c r="K49" s="68"/>
      <c r="L49" s="68"/>
      <c r="M49" s="63"/>
      <c r="N49" s="63"/>
      <c r="O49" s="63"/>
      <c r="P49" s="63"/>
      <c r="Q49" s="68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</row>
    <row r="50" spans="1:32" x14ac:dyDescent="0.3">
      <c r="A50" s="158" t="s">
        <v>172</v>
      </c>
      <c r="B50" s="159"/>
      <c r="C50" s="159"/>
      <c r="D50" s="159"/>
      <c r="E50" s="160"/>
      <c r="F50" s="67"/>
      <c r="G50" s="67"/>
      <c r="H50" s="67"/>
      <c r="I50" s="67"/>
      <c r="J50" s="67"/>
      <c r="K50" s="67"/>
      <c r="L50" s="80">
        <v>745557.13</v>
      </c>
      <c r="M50" s="81">
        <v>20242.580000000002</v>
      </c>
      <c r="N50" s="81">
        <v>20242.580000000002</v>
      </c>
      <c r="O50" s="81">
        <v>93715.13</v>
      </c>
      <c r="P50" s="82">
        <v>0</v>
      </c>
      <c r="Q50" s="81">
        <v>879757.41</v>
      </c>
      <c r="R50" s="99">
        <v>0</v>
      </c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</row>
    <row r="51" spans="1:32" x14ac:dyDescent="0.3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</row>
    <row r="52" spans="1:32" x14ac:dyDescent="0.3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</row>
    <row r="53" spans="1:32" x14ac:dyDescent="0.3">
      <c r="A53" s="161" t="s">
        <v>173</v>
      </c>
      <c r="B53" s="162"/>
      <c r="C53" s="163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5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</row>
    <row r="54" spans="1:32" x14ac:dyDescent="0.3">
      <c r="A54" s="55" t="s">
        <v>174</v>
      </c>
      <c r="B54" s="56" t="s">
        <v>26</v>
      </c>
      <c r="C54" s="56" t="s">
        <v>27</v>
      </c>
      <c r="D54" s="56" t="s">
        <v>28</v>
      </c>
      <c r="E54" s="56" t="s">
        <v>29</v>
      </c>
      <c r="F54" s="57" t="s">
        <v>110</v>
      </c>
      <c r="G54" s="58"/>
      <c r="H54" s="58"/>
      <c r="I54" s="58"/>
      <c r="J54" s="57" t="s">
        <v>127</v>
      </c>
      <c r="K54" s="58"/>
      <c r="L54" s="57" t="s">
        <v>175</v>
      </c>
      <c r="M54" s="57" t="s">
        <v>36</v>
      </c>
      <c r="N54" s="57" t="s">
        <v>37</v>
      </c>
      <c r="O54" s="57" t="s">
        <v>38</v>
      </c>
      <c r="P54" s="59" t="s">
        <v>176</v>
      </c>
      <c r="Q54" s="57" t="s">
        <v>177</v>
      </c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</row>
    <row r="55" spans="1:32" x14ac:dyDescent="0.3">
      <c r="A55" s="60">
        <v>1</v>
      </c>
      <c r="B55" s="61" t="s">
        <v>367</v>
      </c>
      <c r="C55" s="62">
        <v>45845</v>
      </c>
      <c r="D55" s="63" t="s">
        <v>368</v>
      </c>
      <c r="E55" s="63" t="s">
        <v>369</v>
      </c>
      <c r="F55" s="64">
        <v>39199090</v>
      </c>
      <c r="G55" s="63"/>
      <c r="H55" s="63"/>
      <c r="I55" s="63"/>
      <c r="J55" s="63"/>
      <c r="K55" s="63"/>
      <c r="L55" s="64">
        <v>13200</v>
      </c>
      <c r="M55" s="64">
        <v>0</v>
      </c>
      <c r="N55" s="64">
        <v>0</v>
      </c>
      <c r="O55" s="64">
        <v>2376</v>
      </c>
      <c r="P55" s="64">
        <v>0</v>
      </c>
      <c r="Q55" s="65">
        <v>15576</v>
      </c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</row>
    <row r="56" spans="1:32" x14ac:dyDescent="0.3">
      <c r="A56" s="60">
        <v>2</v>
      </c>
      <c r="B56" s="61" t="s">
        <v>370</v>
      </c>
      <c r="C56" s="62">
        <v>45852</v>
      </c>
      <c r="D56" s="63" t="s">
        <v>371</v>
      </c>
      <c r="E56" s="64" t="s">
        <v>372</v>
      </c>
      <c r="F56" s="64">
        <v>72111410</v>
      </c>
      <c r="G56" s="63"/>
      <c r="H56" s="63"/>
      <c r="I56" s="63"/>
      <c r="J56" s="63"/>
      <c r="K56" s="63"/>
      <c r="L56" s="64">
        <v>2463</v>
      </c>
      <c r="M56" s="64">
        <v>221.67</v>
      </c>
      <c r="N56" s="64">
        <v>221.67</v>
      </c>
      <c r="O56" s="64">
        <v>0</v>
      </c>
      <c r="P56" s="64">
        <v>0</v>
      </c>
      <c r="Q56" s="65">
        <v>2906.34</v>
      </c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</row>
    <row r="57" spans="1:32" x14ac:dyDescent="0.3">
      <c r="A57" s="60">
        <v>3</v>
      </c>
      <c r="B57" s="61" t="s">
        <v>373</v>
      </c>
      <c r="C57" s="62">
        <v>45853</v>
      </c>
      <c r="D57" s="63" t="s">
        <v>374</v>
      </c>
      <c r="E57" s="64" t="s">
        <v>203</v>
      </c>
      <c r="F57" s="64">
        <v>96100000</v>
      </c>
      <c r="G57" s="63"/>
      <c r="H57" s="63"/>
      <c r="I57" s="63"/>
      <c r="J57" s="63"/>
      <c r="K57" s="63"/>
      <c r="L57" s="64">
        <v>3060</v>
      </c>
      <c r="M57" s="64">
        <v>0</v>
      </c>
      <c r="N57" s="64">
        <v>0</v>
      </c>
      <c r="O57" s="64">
        <v>550.79999999999995</v>
      </c>
      <c r="P57" s="64">
        <v>0</v>
      </c>
      <c r="Q57" s="65">
        <v>3610.8</v>
      </c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</row>
    <row r="58" spans="1:32" x14ac:dyDescent="0.3">
      <c r="A58" s="60">
        <v>4</v>
      </c>
      <c r="B58" s="61" t="s">
        <v>375</v>
      </c>
      <c r="C58" s="62">
        <v>45855</v>
      </c>
      <c r="D58" s="63" t="s">
        <v>376</v>
      </c>
      <c r="E58" s="64" t="s">
        <v>211</v>
      </c>
      <c r="F58" s="64">
        <v>84439959</v>
      </c>
      <c r="G58" s="63"/>
      <c r="H58" s="63"/>
      <c r="I58" s="63"/>
      <c r="J58" s="63"/>
      <c r="K58" s="63"/>
      <c r="L58" s="64">
        <v>6850</v>
      </c>
      <c r="M58" s="64">
        <v>616.5</v>
      </c>
      <c r="N58" s="64">
        <v>616.5</v>
      </c>
      <c r="O58" s="64">
        <v>0</v>
      </c>
      <c r="P58" s="64">
        <v>0</v>
      </c>
      <c r="Q58" s="65">
        <v>8083</v>
      </c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</row>
    <row r="59" spans="1:32" x14ac:dyDescent="0.3">
      <c r="A59" s="60">
        <v>5</v>
      </c>
      <c r="B59" s="61" t="s">
        <v>377</v>
      </c>
      <c r="C59" s="62">
        <v>45856</v>
      </c>
      <c r="D59" s="63" t="s">
        <v>376</v>
      </c>
      <c r="E59" s="64" t="s">
        <v>211</v>
      </c>
      <c r="F59" s="64">
        <v>84439959</v>
      </c>
      <c r="G59" s="63"/>
      <c r="H59" s="63"/>
      <c r="I59" s="63"/>
      <c r="J59" s="63"/>
      <c r="K59" s="63"/>
      <c r="L59" s="64">
        <v>11000</v>
      </c>
      <c r="M59" s="64">
        <v>990</v>
      </c>
      <c r="N59" s="64">
        <v>990</v>
      </c>
      <c r="O59" s="64">
        <v>0</v>
      </c>
      <c r="P59" s="64">
        <v>0</v>
      </c>
      <c r="Q59" s="65">
        <v>12980</v>
      </c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</row>
    <row r="60" spans="1:32" x14ac:dyDescent="0.3">
      <c r="A60" s="60">
        <v>6</v>
      </c>
      <c r="B60" s="61">
        <v>322</v>
      </c>
      <c r="C60" s="62">
        <v>45856</v>
      </c>
      <c r="D60" s="63" t="s">
        <v>378</v>
      </c>
      <c r="E60" s="64" t="s">
        <v>379</v>
      </c>
      <c r="F60" s="64">
        <v>8471</v>
      </c>
      <c r="G60" s="63"/>
      <c r="H60" s="63"/>
      <c r="I60" s="63"/>
      <c r="J60" s="63"/>
      <c r="K60" s="63"/>
      <c r="L60" s="64">
        <v>508.48</v>
      </c>
      <c r="M60" s="64">
        <v>0</v>
      </c>
      <c r="N60" s="64">
        <v>0</v>
      </c>
      <c r="O60" s="64">
        <v>91.526399999999995</v>
      </c>
      <c r="P60" s="64">
        <v>0</v>
      </c>
      <c r="Q60" s="75">
        <v>600.01</v>
      </c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</row>
    <row r="61" spans="1:32" x14ac:dyDescent="0.3">
      <c r="A61" s="60">
        <v>7</v>
      </c>
      <c r="B61" s="61">
        <v>181</v>
      </c>
      <c r="C61" s="62">
        <v>45857</v>
      </c>
      <c r="D61" s="63" t="s">
        <v>380</v>
      </c>
      <c r="E61" s="64" t="s">
        <v>381</v>
      </c>
      <c r="F61" s="64">
        <v>9403</v>
      </c>
      <c r="G61" s="63"/>
      <c r="H61" s="63"/>
      <c r="I61" s="63"/>
      <c r="J61" s="63"/>
      <c r="K61" s="63"/>
      <c r="L61" s="64">
        <v>42000</v>
      </c>
      <c r="M61" s="64">
        <v>3780</v>
      </c>
      <c r="N61" s="64">
        <v>3780</v>
      </c>
      <c r="O61" s="64">
        <v>0</v>
      </c>
      <c r="P61" s="64">
        <v>0</v>
      </c>
      <c r="Q61" s="65">
        <v>49560</v>
      </c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</row>
    <row r="62" spans="1:32" x14ac:dyDescent="0.3">
      <c r="A62" s="60">
        <v>9</v>
      </c>
      <c r="B62" s="61" t="s">
        <v>382</v>
      </c>
      <c r="C62" s="62">
        <v>45860</v>
      </c>
      <c r="D62" s="63" t="s">
        <v>376</v>
      </c>
      <c r="E62" s="64" t="s">
        <v>211</v>
      </c>
      <c r="F62" s="64">
        <v>84439959</v>
      </c>
      <c r="G62" s="63"/>
      <c r="H62" s="63"/>
      <c r="I62" s="63"/>
      <c r="J62" s="63"/>
      <c r="K62" s="63"/>
      <c r="L62" s="64">
        <v>6850</v>
      </c>
      <c r="M62" s="64">
        <v>616.5</v>
      </c>
      <c r="N62" s="64">
        <v>616.5</v>
      </c>
      <c r="O62" s="64">
        <v>0</v>
      </c>
      <c r="P62" s="64">
        <v>0</v>
      </c>
      <c r="Q62" s="65">
        <v>8083</v>
      </c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</row>
    <row r="63" spans="1:32" x14ac:dyDescent="0.3">
      <c r="A63" s="60">
        <v>10</v>
      </c>
      <c r="B63" s="61">
        <v>182</v>
      </c>
      <c r="C63" s="62">
        <v>45860</v>
      </c>
      <c r="D63" s="63" t="s">
        <v>380</v>
      </c>
      <c r="E63" s="64" t="s">
        <v>381</v>
      </c>
      <c r="F63" s="64">
        <v>9403</v>
      </c>
      <c r="G63" s="63"/>
      <c r="H63" s="63"/>
      <c r="I63" s="63"/>
      <c r="J63" s="63"/>
      <c r="K63" s="63"/>
      <c r="L63" s="64">
        <v>41750</v>
      </c>
      <c r="M63" s="64">
        <v>3757.5</v>
      </c>
      <c r="N63" s="64">
        <v>3757.5</v>
      </c>
      <c r="O63" s="64">
        <v>0</v>
      </c>
      <c r="P63" s="64">
        <v>0</v>
      </c>
      <c r="Q63" s="65">
        <v>49265</v>
      </c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</row>
    <row r="64" spans="1:32" x14ac:dyDescent="0.3">
      <c r="A64" s="60">
        <v>11</v>
      </c>
      <c r="B64" s="61">
        <v>183</v>
      </c>
      <c r="C64" s="62">
        <v>45862</v>
      </c>
      <c r="D64" s="63" t="s">
        <v>380</v>
      </c>
      <c r="E64" s="64" t="s">
        <v>381</v>
      </c>
      <c r="F64" s="63"/>
      <c r="G64" s="63"/>
      <c r="H64" s="63"/>
      <c r="I64" s="63"/>
      <c r="J64" s="63"/>
      <c r="K64" s="63"/>
      <c r="L64" s="64">
        <v>42000</v>
      </c>
      <c r="M64" s="64">
        <v>3780</v>
      </c>
      <c r="N64" s="64">
        <v>3780</v>
      </c>
      <c r="O64" s="64">
        <v>0</v>
      </c>
      <c r="P64" s="64">
        <v>0</v>
      </c>
      <c r="Q64" s="65">
        <v>49560</v>
      </c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</row>
    <row r="65" spans="1:32" x14ac:dyDescent="0.3">
      <c r="A65" s="60">
        <v>12</v>
      </c>
      <c r="B65" s="61">
        <v>186</v>
      </c>
      <c r="C65" s="62">
        <v>45865</v>
      </c>
      <c r="D65" s="63" t="s">
        <v>380</v>
      </c>
      <c r="E65" s="64" t="s">
        <v>381</v>
      </c>
      <c r="F65" s="64">
        <v>7006</v>
      </c>
      <c r="G65" s="63"/>
      <c r="H65" s="63"/>
      <c r="I65" s="63"/>
      <c r="J65" s="63"/>
      <c r="K65" s="63"/>
      <c r="L65" s="64">
        <v>41850</v>
      </c>
      <c r="M65" s="64">
        <v>3766.5</v>
      </c>
      <c r="N65" s="64">
        <v>3766.5</v>
      </c>
      <c r="O65" s="64">
        <v>0</v>
      </c>
      <c r="P65" s="64">
        <v>0</v>
      </c>
      <c r="Q65" s="65">
        <v>49383</v>
      </c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</row>
    <row r="66" spans="1:32" x14ac:dyDescent="0.3">
      <c r="A66" s="60">
        <v>13</v>
      </c>
      <c r="B66" s="61">
        <v>2059</v>
      </c>
      <c r="C66" s="62">
        <v>45865</v>
      </c>
      <c r="D66" s="63" t="s">
        <v>113</v>
      </c>
      <c r="E66" s="64" t="s">
        <v>114</v>
      </c>
      <c r="F66" s="64">
        <v>44111200</v>
      </c>
      <c r="G66" s="63"/>
      <c r="H66" s="63"/>
      <c r="I66" s="63"/>
      <c r="J66" s="63"/>
      <c r="K66" s="63"/>
      <c r="L66" s="64">
        <v>39100</v>
      </c>
      <c r="M66" s="64">
        <v>3519</v>
      </c>
      <c r="N66" s="64">
        <v>3519</v>
      </c>
      <c r="O66" s="64">
        <v>0</v>
      </c>
      <c r="P66" s="64">
        <v>0</v>
      </c>
      <c r="Q66" s="65">
        <v>46138</v>
      </c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</row>
    <row r="67" spans="1:32" x14ac:dyDescent="0.3">
      <c r="A67" s="66"/>
      <c r="B67" s="67"/>
      <c r="C67" s="63"/>
      <c r="D67" s="63"/>
      <c r="E67" s="63"/>
      <c r="F67" s="64">
        <v>39219099</v>
      </c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8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</row>
    <row r="68" spans="1:32" x14ac:dyDescent="0.3">
      <c r="A68" s="60">
        <v>14</v>
      </c>
      <c r="B68" s="61">
        <v>187</v>
      </c>
      <c r="C68" s="62">
        <v>45867</v>
      </c>
      <c r="D68" s="63" t="s">
        <v>380</v>
      </c>
      <c r="E68" s="64" t="s">
        <v>381</v>
      </c>
      <c r="F68" s="64">
        <v>7006</v>
      </c>
      <c r="G68" s="63"/>
      <c r="H68" s="63"/>
      <c r="I68" s="63"/>
      <c r="J68" s="63"/>
      <c r="K68" s="63"/>
      <c r="L68" s="64">
        <v>41250</v>
      </c>
      <c r="M68" s="64">
        <v>3712.5</v>
      </c>
      <c r="N68" s="64">
        <v>3712.5</v>
      </c>
      <c r="O68" s="64">
        <v>0</v>
      </c>
      <c r="P68" s="64">
        <v>0</v>
      </c>
      <c r="Q68" s="65">
        <v>48675</v>
      </c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</row>
    <row r="69" spans="1:32" x14ac:dyDescent="0.3">
      <c r="A69" s="60">
        <v>15</v>
      </c>
      <c r="B69" s="61">
        <v>188</v>
      </c>
      <c r="C69" s="62">
        <v>45868</v>
      </c>
      <c r="D69" s="63" t="s">
        <v>380</v>
      </c>
      <c r="E69" s="64" t="s">
        <v>381</v>
      </c>
      <c r="F69" s="64">
        <v>7005</v>
      </c>
      <c r="G69" s="63"/>
      <c r="H69" s="63"/>
      <c r="I69" s="63"/>
      <c r="J69" s="63"/>
      <c r="K69" s="63"/>
      <c r="L69" s="64">
        <v>108750</v>
      </c>
      <c r="M69" s="64">
        <v>9787.5</v>
      </c>
      <c r="N69" s="64">
        <v>9787.5</v>
      </c>
      <c r="O69" s="64">
        <v>0</v>
      </c>
      <c r="P69" s="64">
        <v>0</v>
      </c>
      <c r="Q69" s="65">
        <v>128325</v>
      </c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</row>
    <row r="70" spans="1:32" x14ac:dyDescent="0.3">
      <c r="A70" s="70">
        <v>16</v>
      </c>
      <c r="B70" s="61" t="s">
        <v>383</v>
      </c>
      <c r="C70" s="62">
        <v>45868</v>
      </c>
      <c r="D70" s="63" t="s">
        <v>294</v>
      </c>
      <c r="E70" s="64" t="s">
        <v>206</v>
      </c>
      <c r="F70" s="64">
        <v>64034000</v>
      </c>
      <c r="G70" s="63"/>
      <c r="H70" s="63"/>
      <c r="I70" s="63"/>
      <c r="J70" s="63"/>
      <c r="K70" s="63"/>
      <c r="L70" s="64">
        <v>2200</v>
      </c>
      <c r="M70" s="64">
        <v>198</v>
      </c>
      <c r="N70" s="64">
        <v>198</v>
      </c>
      <c r="O70" s="64">
        <v>0</v>
      </c>
      <c r="P70" s="64">
        <v>0</v>
      </c>
      <c r="Q70" s="75">
        <v>396</v>
      </c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</row>
    <row r="71" spans="1:32" x14ac:dyDescent="0.3">
      <c r="A71" s="69"/>
      <c r="B71" s="67"/>
      <c r="C71" s="63"/>
      <c r="D71" s="63"/>
      <c r="E71" s="63"/>
      <c r="F71" s="64">
        <v>21011200</v>
      </c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</row>
    <row r="72" spans="1:32" x14ac:dyDescent="0.3">
      <c r="A72" s="70">
        <v>17</v>
      </c>
      <c r="B72" s="61">
        <v>2064</v>
      </c>
      <c r="C72" s="62">
        <v>45868</v>
      </c>
      <c r="D72" s="63" t="s">
        <v>113</v>
      </c>
      <c r="E72" s="64" t="s">
        <v>114</v>
      </c>
      <c r="F72" s="64">
        <v>44111200</v>
      </c>
      <c r="G72" s="63"/>
      <c r="H72" s="63"/>
      <c r="I72" s="63"/>
      <c r="J72" s="63"/>
      <c r="K72" s="63"/>
      <c r="L72" s="64">
        <v>33550</v>
      </c>
      <c r="M72" s="64">
        <v>3019.5</v>
      </c>
      <c r="N72" s="64">
        <v>3019.5</v>
      </c>
      <c r="O72" s="64">
        <v>0</v>
      </c>
      <c r="P72" s="64">
        <v>0</v>
      </c>
      <c r="Q72" s="65">
        <v>6039</v>
      </c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</row>
    <row r="73" spans="1:32" x14ac:dyDescent="0.3">
      <c r="A73" s="69"/>
      <c r="B73" s="67"/>
      <c r="C73" s="63"/>
      <c r="D73" s="63"/>
      <c r="E73" s="63"/>
      <c r="F73" s="64">
        <v>39219099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</row>
    <row r="74" spans="1:32" x14ac:dyDescent="0.3">
      <c r="A74" s="69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</row>
    <row r="75" spans="1:32" x14ac:dyDescent="0.3">
      <c r="A75" s="6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</row>
    <row r="76" spans="1:32" x14ac:dyDescent="0.3">
      <c r="A76" s="69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</row>
    <row r="77" spans="1:32" x14ac:dyDescent="0.3">
      <c r="A77" s="158" t="s">
        <v>172</v>
      </c>
      <c r="B77" s="159"/>
      <c r="C77" s="159"/>
      <c r="D77" s="159"/>
      <c r="E77" s="160"/>
      <c r="F77" s="84"/>
      <c r="G77" s="84"/>
      <c r="H77" s="84"/>
      <c r="I77" s="84"/>
      <c r="J77" s="84"/>
      <c r="K77" s="84"/>
      <c r="L77" s="85">
        <v>400631.48</v>
      </c>
      <c r="M77" s="86">
        <v>37765.17</v>
      </c>
      <c r="N77" s="86">
        <v>37765.17</v>
      </c>
      <c r="O77" s="86">
        <v>3018.3263999999999</v>
      </c>
      <c r="P77" s="86">
        <v>0</v>
      </c>
      <c r="Q77" s="85">
        <v>479180.15</v>
      </c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</row>
    <row r="78" spans="1:32" x14ac:dyDescent="0.3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</row>
    <row r="79" spans="1:32" x14ac:dyDescent="0.3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</row>
    <row r="80" spans="1:32" x14ac:dyDescent="0.3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83"/>
      <c r="N80" s="83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</row>
    <row r="81" spans="1:32" x14ac:dyDescent="0.3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87"/>
      <c r="M81" s="63" t="s">
        <v>310</v>
      </c>
      <c r="N81" s="88">
        <v>134200.28</v>
      </c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</row>
    <row r="82" spans="1:32" x14ac:dyDescent="0.3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87"/>
      <c r="M82" s="63" t="s">
        <v>311</v>
      </c>
      <c r="N82" s="89">
        <v>83039.61</v>
      </c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</row>
    <row r="83" spans="1:32" x14ac:dyDescent="0.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87"/>
      <c r="M83" s="63" t="s">
        <v>312</v>
      </c>
      <c r="N83" s="88">
        <v>51160.67</v>
      </c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</row>
    <row r="84" spans="1:32" x14ac:dyDescent="0.3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</row>
    <row r="85" spans="1:32" x14ac:dyDescent="0.3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</row>
    <row r="86" spans="1:32" x14ac:dyDescent="0.3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</row>
    <row r="87" spans="1:32" x14ac:dyDescent="0.3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</row>
    <row r="88" spans="1:32" x14ac:dyDescent="0.3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</row>
    <row r="89" spans="1:32" x14ac:dyDescent="0.3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</row>
    <row r="90" spans="1:32" x14ac:dyDescent="0.3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</row>
    <row r="91" spans="1:32" x14ac:dyDescent="0.3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</row>
    <row r="92" spans="1:32" x14ac:dyDescent="0.3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</row>
    <row r="93" spans="1:32" x14ac:dyDescent="0.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</row>
    <row r="94" spans="1:32" x14ac:dyDescent="0.3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</row>
    <row r="95" spans="1:32" x14ac:dyDescent="0.3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</row>
    <row r="96" spans="1:32" x14ac:dyDescent="0.3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</row>
    <row r="97" spans="1:32" x14ac:dyDescent="0.3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</row>
    <row r="98" spans="1:32" x14ac:dyDescent="0.3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</row>
    <row r="99" spans="1:32" x14ac:dyDescent="0.3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</row>
    <row r="100" spans="1:32" x14ac:dyDescent="0.3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</row>
    <row r="101" spans="1:32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</row>
    <row r="102" spans="1:32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</row>
    <row r="103" spans="1:32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</row>
    <row r="104" spans="1:32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</row>
    <row r="105" spans="1:32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</row>
    <row r="106" spans="1:32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</row>
    <row r="107" spans="1:32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</row>
    <row r="108" spans="1:32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</row>
    <row r="109" spans="1:32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</row>
    <row r="110" spans="1:32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</row>
    <row r="111" spans="1:32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</row>
    <row r="112" spans="1:32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</row>
    <row r="113" spans="1:32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</row>
    <row r="114" spans="1:32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</row>
    <row r="115" spans="1:32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</row>
    <row r="116" spans="1:32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</row>
    <row r="117" spans="1:32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</row>
    <row r="118" spans="1:32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</row>
    <row r="119" spans="1:32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</row>
    <row r="120" spans="1:32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</row>
    <row r="121" spans="1:32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</row>
    <row r="122" spans="1:32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</row>
    <row r="123" spans="1:32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</row>
    <row r="124" spans="1:32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</row>
    <row r="125" spans="1:32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</row>
    <row r="126" spans="1:32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</row>
    <row r="127" spans="1:32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</row>
    <row r="128" spans="1:32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</row>
    <row r="129" spans="1:32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</row>
    <row r="130" spans="1:32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</row>
    <row r="131" spans="1:32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</row>
    <row r="132" spans="1:32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</row>
    <row r="133" spans="1:32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</row>
    <row r="134" spans="1:32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</row>
    <row r="135" spans="1:32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</row>
    <row r="136" spans="1:32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</row>
    <row r="137" spans="1:32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</row>
    <row r="138" spans="1:32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</row>
    <row r="139" spans="1:32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</row>
    <row r="140" spans="1:32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</row>
    <row r="141" spans="1:32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</row>
    <row r="142" spans="1:32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</row>
    <row r="143" spans="1:32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</row>
    <row r="144" spans="1:32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</row>
    <row r="145" spans="1:32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</row>
    <row r="146" spans="1:32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</row>
    <row r="147" spans="1:32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</row>
    <row r="148" spans="1:32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</row>
    <row r="149" spans="1:32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</row>
    <row r="150" spans="1:32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</row>
    <row r="151" spans="1:32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</row>
    <row r="152" spans="1:32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</row>
    <row r="153" spans="1:32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</row>
    <row r="154" spans="1:32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</row>
    <row r="155" spans="1:32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</row>
    <row r="156" spans="1:32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</row>
    <row r="157" spans="1:32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</row>
    <row r="158" spans="1:32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</row>
    <row r="159" spans="1:32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</row>
    <row r="160" spans="1:32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</row>
    <row r="161" spans="1:32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</row>
    <row r="162" spans="1:32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</row>
    <row r="163" spans="1:32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</row>
    <row r="164" spans="1:32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</row>
    <row r="165" spans="1:32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</row>
    <row r="166" spans="1:32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</row>
    <row r="167" spans="1:32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</row>
    <row r="168" spans="1:32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</row>
    <row r="169" spans="1:32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</row>
    <row r="170" spans="1:32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</row>
    <row r="171" spans="1:32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</row>
    <row r="172" spans="1:32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</row>
    <row r="173" spans="1:32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</row>
    <row r="174" spans="1:32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</row>
    <row r="175" spans="1:32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</row>
    <row r="176" spans="1:32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</row>
    <row r="177" spans="1:32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</row>
    <row r="178" spans="1:32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</row>
    <row r="179" spans="1:32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</row>
    <row r="180" spans="1:32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</row>
    <row r="181" spans="1:32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</row>
    <row r="182" spans="1:32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</row>
    <row r="183" spans="1:32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</row>
    <row r="184" spans="1:32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</row>
    <row r="185" spans="1:32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</row>
    <row r="186" spans="1:32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</row>
    <row r="187" spans="1:32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</row>
    <row r="188" spans="1:32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</row>
    <row r="189" spans="1:32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</row>
    <row r="190" spans="1:32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</row>
    <row r="191" spans="1:32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</row>
    <row r="192" spans="1:32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</row>
    <row r="193" spans="1:32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</row>
    <row r="194" spans="1:32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</row>
    <row r="195" spans="1:32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</row>
    <row r="196" spans="1:32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</row>
    <row r="197" spans="1:32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</row>
    <row r="198" spans="1:32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</row>
    <row r="199" spans="1:32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</row>
    <row r="200" spans="1:32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</row>
    <row r="201" spans="1:32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</row>
    <row r="202" spans="1:32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</row>
    <row r="203" spans="1:32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</row>
    <row r="204" spans="1:32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</row>
    <row r="205" spans="1:32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</row>
    <row r="206" spans="1:32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</row>
    <row r="207" spans="1:32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</row>
    <row r="208" spans="1:32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</row>
    <row r="209" spans="1:32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</row>
    <row r="210" spans="1:32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</row>
    <row r="211" spans="1:32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</row>
    <row r="212" spans="1:32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</row>
    <row r="213" spans="1:32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</row>
    <row r="214" spans="1:32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</row>
    <row r="215" spans="1:32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</row>
    <row r="216" spans="1:32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</row>
    <row r="217" spans="1:32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</row>
    <row r="218" spans="1:32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</row>
    <row r="219" spans="1:32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</row>
    <row r="220" spans="1:32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</row>
    <row r="221" spans="1:32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</row>
    <row r="222" spans="1:32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</row>
    <row r="223" spans="1:32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</row>
    <row r="224" spans="1:32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</row>
    <row r="225" spans="1:32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</row>
    <row r="226" spans="1:32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</row>
    <row r="227" spans="1:32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</row>
    <row r="228" spans="1:32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</row>
    <row r="229" spans="1:32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</row>
    <row r="230" spans="1:32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</row>
    <row r="231" spans="1:32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</row>
    <row r="232" spans="1:32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</row>
    <row r="233" spans="1:32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</row>
    <row r="234" spans="1:32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</row>
    <row r="235" spans="1:32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</row>
    <row r="236" spans="1:32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</row>
    <row r="237" spans="1:32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</row>
    <row r="238" spans="1:32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</row>
    <row r="239" spans="1:32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</row>
    <row r="240" spans="1:32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</row>
    <row r="241" spans="1:32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</row>
    <row r="242" spans="1:32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</row>
    <row r="243" spans="1:32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</row>
    <row r="244" spans="1:32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</row>
    <row r="245" spans="1:32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</row>
    <row r="246" spans="1:32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</row>
    <row r="247" spans="1:32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</row>
    <row r="248" spans="1:32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</row>
    <row r="249" spans="1:32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</row>
    <row r="250" spans="1:32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</row>
    <row r="251" spans="1:32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</row>
    <row r="252" spans="1:32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</row>
    <row r="253" spans="1:32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</row>
    <row r="254" spans="1:32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</row>
    <row r="255" spans="1:32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</row>
    <row r="256" spans="1:32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</row>
    <row r="257" spans="1:32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</row>
    <row r="258" spans="1:32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</row>
    <row r="259" spans="1:32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</row>
    <row r="260" spans="1:32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</row>
    <row r="261" spans="1:32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</row>
    <row r="262" spans="1:32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</row>
    <row r="263" spans="1:32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</row>
    <row r="264" spans="1:32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</row>
    <row r="265" spans="1:32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</row>
    <row r="266" spans="1:32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</row>
    <row r="267" spans="1:32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</row>
    <row r="268" spans="1:32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</row>
    <row r="269" spans="1:32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</row>
    <row r="270" spans="1:32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</row>
    <row r="271" spans="1:32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</row>
    <row r="272" spans="1:32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</row>
    <row r="273" spans="1:32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</row>
    <row r="274" spans="1:32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</row>
    <row r="275" spans="1:32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</row>
    <row r="276" spans="1:32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</row>
    <row r="277" spans="1:32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</row>
    <row r="278" spans="1:32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</row>
    <row r="279" spans="1:32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</row>
    <row r="280" spans="1:32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</row>
    <row r="281" spans="1:32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</row>
    <row r="282" spans="1:32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</row>
    <row r="283" spans="1:32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</row>
    <row r="284" spans="1:32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</row>
    <row r="285" spans="1:32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</row>
    <row r="286" spans="1:32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</row>
    <row r="287" spans="1:32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</row>
    <row r="288" spans="1:32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</row>
    <row r="289" spans="1:32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</row>
    <row r="290" spans="1:32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</row>
    <row r="291" spans="1:32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</row>
    <row r="292" spans="1:32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</row>
    <row r="293" spans="1:32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</row>
    <row r="294" spans="1:32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</row>
    <row r="295" spans="1:32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</row>
    <row r="296" spans="1:32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</row>
    <row r="297" spans="1:32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</row>
    <row r="298" spans="1:32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</row>
    <row r="299" spans="1:32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</row>
    <row r="300" spans="1:32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</row>
    <row r="301" spans="1:32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</row>
    <row r="302" spans="1:32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</row>
    <row r="303" spans="1:32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</row>
    <row r="304" spans="1:32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</row>
    <row r="305" spans="1:32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</row>
    <row r="306" spans="1:32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</row>
    <row r="307" spans="1:32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</row>
    <row r="308" spans="1:32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</row>
    <row r="309" spans="1:32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</row>
    <row r="310" spans="1:32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</row>
    <row r="311" spans="1:32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</row>
    <row r="312" spans="1:32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</row>
    <row r="313" spans="1:32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</row>
    <row r="314" spans="1:32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</row>
    <row r="315" spans="1:32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</row>
    <row r="316" spans="1:32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</row>
    <row r="317" spans="1:32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</row>
    <row r="318" spans="1:32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</row>
    <row r="319" spans="1:32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</row>
    <row r="320" spans="1:32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</row>
    <row r="321" spans="1:32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</row>
    <row r="322" spans="1:32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</row>
    <row r="323" spans="1:32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</row>
    <row r="324" spans="1:32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</row>
    <row r="325" spans="1:32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</row>
    <row r="326" spans="1:32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</row>
    <row r="327" spans="1:32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</row>
    <row r="328" spans="1:32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</row>
    <row r="329" spans="1:32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</row>
    <row r="330" spans="1:32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</row>
    <row r="331" spans="1:32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</row>
    <row r="332" spans="1:32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</row>
    <row r="333" spans="1:32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</row>
    <row r="334" spans="1:32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</row>
    <row r="335" spans="1:32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</row>
    <row r="336" spans="1:32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</row>
    <row r="337" spans="1:32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</row>
    <row r="338" spans="1:32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</row>
    <row r="339" spans="1:32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</row>
    <row r="340" spans="1:32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</row>
    <row r="341" spans="1:32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</row>
    <row r="342" spans="1:32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</row>
    <row r="343" spans="1:32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</row>
    <row r="344" spans="1:32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</row>
    <row r="345" spans="1:32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</row>
    <row r="346" spans="1:32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</row>
    <row r="347" spans="1:32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</row>
    <row r="348" spans="1:32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</row>
    <row r="349" spans="1:32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</row>
    <row r="350" spans="1:32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</row>
    <row r="351" spans="1:32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</row>
    <row r="352" spans="1:32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</row>
    <row r="353" spans="1:32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</row>
    <row r="354" spans="1:32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</row>
    <row r="355" spans="1:32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</row>
    <row r="356" spans="1:32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</row>
    <row r="357" spans="1:32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</row>
    <row r="358" spans="1:32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</row>
    <row r="359" spans="1:32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</row>
    <row r="360" spans="1:32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</row>
    <row r="361" spans="1:32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</row>
    <row r="362" spans="1:32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</row>
    <row r="363" spans="1:32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</row>
    <row r="364" spans="1:32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</row>
    <row r="365" spans="1:32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</row>
    <row r="366" spans="1:32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</row>
    <row r="367" spans="1:32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</row>
    <row r="368" spans="1:32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</row>
    <row r="369" spans="1:32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</row>
    <row r="370" spans="1:32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</row>
    <row r="371" spans="1:32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</row>
    <row r="372" spans="1:32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</row>
    <row r="373" spans="1:32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</row>
    <row r="374" spans="1:32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</row>
    <row r="375" spans="1:32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</row>
    <row r="376" spans="1:32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</row>
    <row r="377" spans="1:32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</row>
    <row r="378" spans="1:32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</row>
    <row r="379" spans="1:32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</row>
    <row r="380" spans="1:32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</row>
    <row r="381" spans="1:32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</row>
    <row r="382" spans="1:32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</row>
    <row r="383" spans="1:32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</row>
    <row r="384" spans="1:32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</row>
    <row r="385" spans="1:32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</row>
    <row r="386" spans="1:32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</row>
    <row r="387" spans="1:32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</row>
    <row r="388" spans="1:32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</row>
    <row r="389" spans="1:32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</row>
    <row r="390" spans="1:32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</row>
    <row r="391" spans="1:32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</row>
    <row r="392" spans="1:32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</row>
    <row r="393" spans="1:32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</row>
    <row r="394" spans="1:32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</row>
    <row r="395" spans="1:32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</row>
    <row r="396" spans="1:32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</row>
    <row r="397" spans="1:32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</row>
    <row r="398" spans="1:32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</row>
    <row r="399" spans="1:32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</row>
    <row r="400" spans="1:32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</row>
    <row r="401" spans="1:32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</row>
    <row r="402" spans="1:32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</row>
    <row r="403" spans="1:32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</row>
    <row r="404" spans="1:32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</row>
    <row r="405" spans="1:32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</row>
    <row r="406" spans="1:32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</row>
    <row r="407" spans="1:32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</row>
    <row r="408" spans="1:32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</row>
    <row r="409" spans="1:32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</row>
    <row r="410" spans="1:32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</row>
    <row r="411" spans="1:32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</row>
    <row r="412" spans="1:32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</row>
    <row r="413" spans="1:32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</row>
    <row r="414" spans="1:32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</row>
    <row r="415" spans="1:32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</row>
    <row r="416" spans="1:32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</row>
    <row r="417" spans="1:32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</row>
    <row r="418" spans="1:32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</row>
    <row r="419" spans="1:32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</row>
    <row r="420" spans="1:32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</row>
    <row r="421" spans="1:32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</row>
    <row r="422" spans="1:32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</row>
    <row r="423" spans="1:32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</row>
    <row r="424" spans="1:32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</row>
    <row r="425" spans="1:32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</row>
    <row r="426" spans="1:32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</row>
    <row r="427" spans="1:32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</row>
    <row r="428" spans="1:32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</row>
    <row r="429" spans="1:32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</row>
    <row r="430" spans="1:32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</row>
    <row r="431" spans="1:32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</row>
    <row r="432" spans="1:32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</row>
    <row r="433" spans="1:32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</row>
    <row r="434" spans="1:32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</row>
    <row r="435" spans="1:32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</row>
    <row r="436" spans="1:32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</row>
    <row r="437" spans="1:32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</row>
    <row r="438" spans="1:32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</row>
    <row r="439" spans="1:32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</row>
    <row r="440" spans="1:32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</row>
    <row r="441" spans="1:32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</row>
    <row r="442" spans="1:32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</row>
    <row r="443" spans="1:32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</row>
    <row r="444" spans="1:32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</row>
    <row r="445" spans="1:32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</row>
    <row r="446" spans="1:32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</row>
    <row r="447" spans="1:32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</row>
    <row r="448" spans="1:32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</row>
    <row r="449" spans="1:32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</row>
    <row r="450" spans="1:32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</row>
    <row r="451" spans="1:32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</row>
    <row r="452" spans="1:32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</row>
    <row r="453" spans="1:32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</row>
    <row r="454" spans="1:32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</row>
    <row r="455" spans="1:32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</row>
    <row r="456" spans="1:32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</row>
    <row r="457" spans="1:32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</row>
    <row r="458" spans="1:32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</row>
    <row r="459" spans="1:32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</row>
    <row r="460" spans="1:32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</row>
    <row r="461" spans="1:32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</row>
    <row r="462" spans="1:32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</row>
    <row r="463" spans="1:32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</row>
    <row r="464" spans="1:32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</row>
    <row r="465" spans="1:32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</row>
    <row r="466" spans="1:32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</row>
    <row r="467" spans="1:32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</row>
    <row r="468" spans="1:32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</row>
    <row r="469" spans="1:32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</row>
    <row r="470" spans="1:32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</row>
    <row r="471" spans="1:32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</row>
    <row r="472" spans="1:32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</row>
    <row r="473" spans="1:32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</row>
    <row r="474" spans="1:32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</row>
    <row r="475" spans="1:32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</row>
    <row r="476" spans="1:32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</row>
    <row r="477" spans="1:32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</row>
    <row r="478" spans="1:32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</row>
    <row r="479" spans="1:32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</row>
    <row r="480" spans="1:32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</row>
    <row r="481" spans="1:32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</row>
    <row r="482" spans="1:32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</row>
    <row r="483" spans="1:32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</row>
    <row r="484" spans="1:32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</row>
    <row r="485" spans="1:32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</row>
    <row r="486" spans="1:32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</row>
    <row r="487" spans="1:32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</row>
    <row r="488" spans="1:32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</row>
    <row r="489" spans="1:32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</row>
    <row r="490" spans="1:32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</row>
    <row r="491" spans="1:32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</row>
    <row r="492" spans="1:32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</row>
    <row r="493" spans="1:32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</row>
    <row r="494" spans="1:32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</row>
    <row r="495" spans="1:32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</row>
    <row r="496" spans="1:32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</row>
    <row r="497" spans="1:32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</row>
    <row r="498" spans="1:32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</row>
    <row r="499" spans="1:32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</row>
    <row r="500" spans="1:32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</row>
    <row r="501" spans="1:32" x14ac:dyDescent="0.3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</row>
    <row r="502" spans="1:32" x14ac:dyDescent="0.3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</row>
    <row r="503" spans="1:32" x14ac:dyDescent="0.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</row>
    <row r="504" spans="1:32" x14ac:dyDescent="0.3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</row>
    <row r="505" spans="1:32" x14ac:dyDescent="0.3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</row>
    <row r="506" spans="1:32" x14ac:dyDescent="0.3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</row>
    <row r="507" spans="1:32" x14ac:dyDescent="0.3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</row>
    <row r="508" spans="1:32" x14ac:dyDescent="0.3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</row>
    <row r="509" spans="1:32" x14ac:dyDescent="0.3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</row>
    <row r="510" spans="1:32" x14ac:dyDescent="0.3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</row>
    <row r="511" spans="1:32" x14ac:dyDescent="0.3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</row>
    <row r="512" spans="1:32" x14ac:dyDescent="0.3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</row>
    <row r="513" spans="1:32" x14ac:dyDescent="0.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</row>
    <row r="514" spans="1:32" x14ac:dyDescent="0.3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</row>
    <row r="515" spans="1:32" x14ac:dyDescent="0.3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</row>
    <row r="516" spans="1:32" x14ac:dyDescent="0.3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</row>
    <row r="517" spans="1:32" x14ac:dyDescent="0.3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</row>
    <row r="518" spans="1:32" x14ac:dyDescent="0.3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</row>
    <row r="519" spans="1:32" x14ac:dyDescent="0.3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</row>
    <row r="520" spans="1:32" x14ac:dyDescent="0.3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</row>
    <row r="521" spans="1:32" x14ac:dyDescent="0.3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</row>
    <row r="522" spans="1:32" x14ac:dyDescent="0.3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</row>
    <row r="523" spans="1:32" x14ac:dyDescent="0.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</row>
    <row r="524" spans="1:32" x14ac:dyDescent="0.3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</row>
    <row r="525" spans="1:32" x14ac:dyDescent="0.3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</row>
    <row r="526" spans="1:32" x14ac:dyDescent="0.3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</row>
    <row r="527" spans="1:32" x14ac:dyDescent="0.3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</row>
    <row r="528" spans="1:32" x14ac:dyDescent="0.3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</row>
    <row r="529" spans="1:32" x14ac:dyDescent="0.3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</row>
    <row r="530" spans="1:32" x14ac:dyDescent="0.3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</row>
    <row r="531" spans="1:32" x14ac:dyDescent="0.3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</row>
    <row r="532" spans="1:32" x14ac:dyDescent="0.3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</row>
    <row r="533" spans="1:32" x14ac:dyDescent="0.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</row>
    <row r="534" spans="1:32" x14ac:dyDescent="0.3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</row>
    <row r="535" spans="1:32" x14ac:dyDescent="0.3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</row>
    <row r="536" spans="1:32" x14ac:dyDescent="0.3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</row>
    <row r="537" spans="1:32" x14ac:dyDescent="0.3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</row>
    <row r="538" spans="1:32" x14ac:dyDescent="0.3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</row>
    <row r="539" spans="1:32" x14ac:dyDescent="0.3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</row>
    <row r="540" spans="1:32" x14ac:dyDescent="0.3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</row>
    <row r="541" spans="1:32" x14ac:dyDescent="0.3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</row>
    <row r="542" spans="1:32" x14ac:dyDescent="0.3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</row>
    <row r="543" spans="1:32" x14ac:dyDescent="0.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</row>
    <row r="544" spans="1:32" x14ac:dyDescent="0.3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</row>
    <row r="545" spans="1:32" x14ac:dyDescent="0.3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</row>
    <row r="546" spans="1:32" x14ac:dyDescent="0.3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</row>
    <row r="547" spans="1:32" x14ac:dyDescent="0.3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</row>
    <row r="548" spans="1:32" x14ac:dyDescent="0.3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</row>
    <row r="549" spans="1:32" x14ac:dyDescent="0.3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</row>
    <row r="550" spans="1:32" x14ac:dyDescent="0.3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</row>
    <row r="551" spans="1:32" x14ac:dyDescent="0.3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</row>
    <row r="552" spans="1:32" x14ac:dyDescent="0.3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</row>
    <row r="553" spans="1:32" x14ac:dyDescent="0.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</row>
    <row r="554" spans="1:32" x14ac:dyDescent="0.3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</row>
    <row r="555" spans="1:32" x14ac:dyDescent="0.3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</row>
    <row r="556" spans="1:32" x14ac:dyDescent="0.3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</row>
    <row r="557" spans="1:32" x14ac:dyDescent="0.3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</row>
    <row r="558" spans="1:32" x14ac:dyDescent="0.3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</row>
    <row r="559" spans="1:32" x14ac:dyDescent="0.3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</row>
    <row r="560" spans="1:32" x14ac:dyDescent="0.3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</row>
    <row r="561" spans="1:32" x14ac:dyDescent="0.3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</row>
    <row r="562" spans="1:32" x14ac:dyDescent="0.3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</row>
    <row r="563" spans="1:32" x14ac:dyDescent="0.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</row>
    <row r="564" spans="1:32" x14ac:dyDescent="0.3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</row>
    <row r="565" spans="1:32" x14ac:dyDescent="0.3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</row>
    <row r="566" spans="1:32" x14ac:dyDescent="0.3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</row>
    <row r="567" spans="1:32" x14ac:dyDescent="0.3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</row>
    <row r="568" spans="1:32" x14ac:dyDescent="0.3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</row>
    <row r="569" spans="1:32" x14ac:dyDescent="0.3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</row>
    <row r="570" spans="1:32" x14ac:dyDescent="0.3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</row>
    <row r="571" spans="1:32" x14ac:dyDescent="0.3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</row>
    <row r="572" spans="1:32" x14ac:dyDescent="0.3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</row>
    <row r="573" spans="1:32" x14ac:dyDescent="0.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</row>
    <row r="574" spans="1:32" x14ac:dyDescent="0.3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</row>
    <row r="575" spans="1:32" x14ac:dyDescent="0.3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</row>
    <row r="576" spans="1:32" x14ac:dyDescent="0.3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</row>
    <row r="577" spans="1:32" x14ac:dyDescent="0.3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</row>
    <row r="578" spans="1:32" x14ac:dyDescent="0.3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</row>
    <row r="579" spans="1:32" x14ac:dyDescent="0.3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</row>
    <row r="580" spans="1:32" x14ac:dyDescent="0.3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</row>
    <row r="581" spans="1:32" x14ac:dyDescent="0.3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</row>
    <row r="582" spans="1:32" x14ac:dyDescent="0.3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</row>
    <row r="583" spans="1:32" x14ac:dyDescent="0.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</row>
    <row r="584" spans="1:32" x14ac:dyDescent="0.3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</row>
    <row r="585" spans="1:32" x14ac:dyDescent="0.3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</row>
    <row r="586" spans="1:32" x14ac:dyDescent="0.3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</row>
    <row r="587" spans="1:32" x14ac:dyDescent="0.3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</row>
    <row r="588" spans="1:32" x14ac:dyDescent="0.3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</row>
    <row r="589" spans="1:32" x14ac:dyDescent="0.3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</row>
    <row r="590" spans="1:32" x14ac:dyDescent="0.3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</row>
    <row r="591" spans="1:32" x14ac:dyDescent="0.3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</row>
    <row r="592" spans="1:32" x14ac:dyDescent="0.3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</row>
    <row r="593" spans="1:32" x14ac:dyDescent="0.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</row>
    <row r="594" spans="1:32" x14ac:dyDescent="0.3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</row>
    <row r="595" spans="1:32" x14ac:dyDescent="0.3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</row>
    <row r="596" spans="1:32" x14ac:dyDescent="0.3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</row>
    <row r="597" spans="1:32" x14ac:dyDescent="0.3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</row>
    <row r="598" spans="1:32" x14ac:dyDescent="0.3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</row>
    <row r="599" spans="1:32" x14ac:dyDescent="0.3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</row>
    <row r="600" spans="1:32" x14ac:dyDescent="0.3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</row>
    <row r="601" spans="1:32" x14ac:dyDescent="0.3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</row>
    <row r="602" spans="1:32" x14ac:dyDescent="0.3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</row>
    <row r="603" spans="1:32" x14ac:dyDescent="0.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</row>
    <row r="604" spans="1:32" x14ac:dyDescent="0.3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</row>
    <row r="605" spans="1:32" x14ac:dyDescent="0.3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</row>
    <row r="606" spans="1:32" x14ac:dyDescent="0.3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</row>
    <row r="607" spans="1:32" x14ac:dyDescent="0.3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</row>
    <row r="608" spans="1:32" x14ac:dyDescent="0.3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</row>
    <row r="609" spans="1:32" x14ac:dyDescent="0.3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</row>
    <row r="610" spans="1:32" x14ac:dyDescent="0.3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</row>
    <row r="611" spans="1:32" x14ac:dyDescent="0.3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</row>
    <row r="612" spans="1:32" x14ac:dyDescent="0.3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</row>
    <row r="613" spans="1:32" x14ac:dyDescent="0.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</row>
    <row r="614" spans="1:32" x14ac:dyDescent="0.3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</row>
    <row r="615" spans="1:32" x14ac:dyDescent="0.3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</row>
    <row r="616" spans="1:32" x14ac:dyDescent="0.3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</row>
    <row r="617" spans="1:32" x14ac:dyDescent="0.3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</row>
    <row r="618" spans="1:32" x14ac:dyDescent="0.3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</row>
    <row r="619" spans="1:32" x14ac:dyDescent="0.3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</row>
    <row r="620" spans="1:32" x14ac:dyDescent="0.3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</row>
    <row r="621" spans="1:32" x14ac:dyDescent="0.3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</row>
    <row r="622" spans="1:32" x14ac:dyDescent="0.3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</row>
    <row r="623" spans="1:32" x14ac:dyDescent="0.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</row>
    <row r="624" spans="1:32" x14ac:dyDescent="0.3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</row>
    <row r="625" spans="1:32" x14ac:dyDescent="0.3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</row>
    <row r="626" spans="1:32" x14ac:dyDescent="0.3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</row>
    <row r="627" spans="1:32" x14ac:dyDescent="0.3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</row>
    <row r="628" spans="1:32" x14ac:dyDescent="0.3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</row>
    <row r="629" spans="1:32" x14ac:dyDescent="0.3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</row>
    <row r="630" spans="1:32" x14ac:dyDescent="0.3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</row>
    <row r="631" spans="1:32" x14ac:dyDescent="0.3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</row>
    <row r="632" spans="1:32" x14ac:dyDescent="0.3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</row>
    <row r="633" spans="1:32" x14ac:dyDescent="0.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</row>
    <row r="634" spans="1:32" x14ac:dyDescent="0.3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</row>
    <row r="635" spans="1:32" x14ac:dyDescent="0.3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</row>
    <row r="636" spans="1:32" x14ac:dyDescent="0.3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</row>
    <row r="637" spans="1:32" x14ac:dyDescent="0.3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</row>
    <row r="638" spans="1:32" x14ac:dyDescent="0.3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</row>
    <row r="639" spans="1:32" x14ac:dyDescent="0.3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</row>
    <row r="640" spans="1:32" x14ac:dyDescent="0.3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</row>
    <row r="641" spans="1:32" x14ac:dyDescent="0.3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</row>
    <row r="642" spans="1:32" x14ac:dyDescent="0.3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</row>
    <row r="643" spans="1:32" x14ac:dyDescent="0.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</row>
    <row r="644" spans="1:32" x14ac:dyDescent="0.3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</row>
    <row r="645" spans="1:32" x14ac:dyDescent="0.3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</row>
    <row r="646" spans="1:32" x14ac:dyDescent="0.3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</row>
    <row r="647" spans="1:32" x14ac:dyDescent="0.3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</row>
    <row r="648" spans="1:32" x14ac:dyDescent="0.3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</row>
    <row r="649" spans="1:32" x14ac:dyDescent="0.3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</row>
    <row r="650" spans="1:32" x14ac:dyDescent="0.3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</row>
    <row r="651" spans="1:32" x14ac:dyDescent="0.3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</row>
    <row r="652" spans="1:32" x14ac:dyDescent="0.3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</row>
    <row r="653" spans="1:32" x14ac:dyDescent="0.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</row>
    <row r="654" spans="1:32" x14ac:dyDescent="0.3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</row>
    <row r="655" spans="1:32" x14ac:dyDescent="0.3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</row>
    <row r="656" spans="1:32" x14ac:dyDescent="0.3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</row>
    <row r="657" spans="1:32" x14ac:dyDescent="0.3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</row>
    <row r="658" spans="1:32" x14ac:dyDescent="0.3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</row>
    <row r="659" spans="1:32" x14ac:dyDescent="0.3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</row>
    <row r="660" spans="1:32" x14ac:dyDescent="0.3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</row>
    <row r="661" spans="1:32" x14ac:dyDescent="0.3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</row>
    <row r="662" spans="1:32" x14ac:dyDescent="0.3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</row>
    <row r="663" spans="1:32" x14ac:dyDescent="0.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</row>
    <row r="664" spans="1:32" x14ac:dyDescent="0.3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</row>
    <row r="665" spans="1:32" x14ac:dyDescent="0.3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</row>
    <row r="666" spans="1:32" x14ac:dyDescent="0.3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</row>
    <row r="667" spans="1:32" x14ac:dyDescent="0.3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</row>
    <row r="668" spans="1:32" x14ac:dyDescent="0.3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</row>
    <row r="669" spans="1:32" x14ac:dyDescent="0.3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</row>
    <row r="670" spans="1:32" x14ac:dyDescent="0.3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</row>
    <row r="671" spans="1:32" x14ac:dyDescent="0.3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</row>
    <row r="672" spans="1:32" x14ac:dyDescent="0.3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</row>
    <row r="673" spans="1:32" x14ac:dyDescent="0.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</row>
    <row r="674" spans="1:32" x14ac:dyDescent="0.3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</row>
    <row r="675" spans="1:32" x14ac:dyDescent="0.3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</row>
    <row r="676" spans="1:32" x14ac:dyDescent="0.3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</row>
    <row r="677" spans="1:32" x14ac:dyDescent="0.3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</row>
    <row r="678" spans="1:32" x14ac:dyDescent="0.3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</row>
    <row r="679" spans="1:32" x14ac:dyDescent="0.3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</row>
    <row r="680" spans="1:32" x14ac:dyDescent="0.3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</row>
    <row r="681" spans="1:32" x14ac:dyDescent="0.3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</row>
    <row r="682" spans="1:32" x14ac:dyDescent="0.3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</row>
    <row r="683" spans="1:32" x14ac:dyDescent="0.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</row>
    <row r="684" spans="1:32" x14ac:dyDescent="0.3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</row>
    <row r="685" spans="1:32" x14ac:dyDescent="0.3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</row>
    <row r="686" spans="1:32" x14ac:dyDescent="0.3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</row>
    <row r="687" spans="1:32" x14ac:dyDescent="0.3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</row>
    <row r="688" spans="1:32" x14ac:dyDescent="0.3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</row>
    <row r="689" spans="1:32" x14ac:dyDescent="0.3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</row>
    <row r="690" spans="1:32" x14ac:dyDescent="0.3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</row>
    <row r="691" spans="1:32" x14ac:dyDescent="0.3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</row>
    <row r="692" spans="1:32" x14ac:dyDescent="0.3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</row>
    <row r="693" spans="1:32" x14ac:dyDescent="0.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</row>
    <row r="694" spans="1:32" x14ac:dyDescent="0.3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</row>
    <row r="695" spans="1:32" x14ac:dyDescent="0.3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</row>
    <row r="696" spans="1:32" x14ac:dyDescent="0.3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</row>
    <row r="697" spans="1:32" x14ac:dyDescent="0.3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</row>
    <row r="698" spans="1:32" x14ac:dyDescent="0.3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</row>
    <row r="699" spans="1:32" x14ac:dyDescent="0.3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</row>
    <row r="700" spans="1:32" x14ac:dyDescent="0.3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</row>
    <row r="701" spans="1:32" x14ac:dyDescent="0.3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</row>
    <row r="702" spans="1:32" x14ac:dyDescent="0.3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</row>
    <row r="703" spans="1:32" x14ac:dyDescent="0.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</row>
    <row r="704" spans="1:32" x14ac:dyDescent="0.3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</row>
    <row r="705" spans="1:32" x14ac:dyDescent="0.3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</row>
    <row r="706" spans="1:32" x14ac:dyDescent="0.3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</row>
    <row r="707" spans="1:32" x14ac:dyDescent="0.3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</row>
    <row r="708" spans="1:32" x14ac:dyDescent="0.3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</row>
    <row r="709" spans="1:32" x14ac:dyDescent="0.3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</row>
    <row r="710" spans="1:32" x14ac:dyDescent="0.3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</row>
    <row r="711" spans="1:32" x14ac:dyDescent="0.3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</row>
    <row r="712" spans="1:32" x14ac:dyDescent="0.3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</row>
    <row r="713" spans="1:32" x14ac:dyDescent="0.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</row>
    <row r="714" spans="1:32" x14ac:dyDescent="0.3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</row>
    <row r="715" spans="1:32" x14ac:dyDescent="0.3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</row>
    <row r="716" spans="1:32" x14ac:dyDescent="0.3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</row>
    <row r="717" spans="1:32" x14ac:dyDescent="0.3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</row>
    <row r="718" spans="1:32" x14ac:dyDescent="0.3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</row>
    <row r="719" spans="1:32" x14ac:dyDescent="0.3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</row>
    <row r="720" spans="1:32" x14ac:dyDescent="0.3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</row>
    <row r="721" spans="1:32" x14ac:dyDescent="0.3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</row>
    <row r="722" spans="1:32" x14ac:dyDescent="0.3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</row>
    <row r="723" spans="1:32" x14ac:dyDescent="0.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</row>
    <row r="724" spans="1:32" x14ac:dyDescent="0.3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</row>
    <row r="725" spans="1:32" x14ac:dyDescent="0.3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</row>
    <row r="726" spans="1:32" x14ac:dyDescent="0.3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</row>
    <row r="727" spans="1:32" x14ac:dyDescent="0.3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</row>
    <row r="728" spans="1:32" x14ac:dyDescent="0.3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</row>
    <row r="729" spans="1:32" x14ac:dyDescent="0.3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</row>
    <row r="730" spans="1:32" x14ac:dyDescent="0.3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</row>
    <row r="731" spans="1:32" x14ac:dyDescent="0.3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</row>
    <row r="732" spans="1:32" x14ac:dyDescent="0.3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</row>
    <row r="733" spans="1:32" x14ac:dyDescent="0.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</row>
    <row r="734" spans="1:32" x14ac:dyDescent="0.3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</row>
    <row r="735" spans="1:32" x14ac:dyDescent="0.3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</row>
    <row r="736" spans="1:32" x14ac:dyDescent="0.3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</row>
    <row r="737" spans="1:32" x14ac:dyDescent="0.3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</row>
    <row r="738" spans="1:32" x14ac:dyDescent="0.3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</row>
    <row r="739" spans="1:32" x14ac:dyDescent="0.3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</row>
    <row r="740" spans="1:32" x14ac:dyDescent="0.3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</row>
    <row r="741" spans="1:32" x14ac:dyDescent="0.3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</row>
    <row r="742" spans="1:32" x14ac:dyDescent="0.3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</row>
    <row r="743" spans="1:32" x14ac:dyDescent="0.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</row>
    <row r="744" spans="1:32" x14ac:dyDescent="0.3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</row>
    <row r="745" spans="1:32" x14ac:dyDescent="0.3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</row>
    <row r="746" spans="1:32" x14ac:dyDescent="0.3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</row>
    <row r="747" spans="1:32" x14ac:dyDescent="0.3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</row>
    <row r="748" spans="1:32" x14ac:dyDescent="0.3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</row>
    <row r="749" spans="1:32" x14ac:dyDescent="0.3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</row>
    <row r="750" spans="1:32" x14ac:dyDescent="0.3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</row>
    <row r="751" spans="1:32" x14ac:dyDescent="0.3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</row>
    <row r="752" spans="1:32" x14ac:dyDescent="0.3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</row>
    <row r="753" spans="1:32" x14ac:dyDescent="0.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</row>
    <row r="754" spans="1:32" x14ac:dyDescent="0.3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</row>
    <row r="755" spans="1:32" x14ac:dyDescent="0.3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</row>
    <row r="756" spans="1:32" x14ac:dyDescent="0.3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</row>
    <row r="757" spans="1:32" x14ac:dyDescent="0.3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</row>
    <row r="758" spans="1:32" x14ac:dyDescent="0.3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</row>
    <row r="759" spans="1:32" x14ac:dyDescent="0.3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</row>
    <row r="760" spans="1:32" x14ac:dyDescent="0.3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</row>
    <row r="761" spans="1:32" x14ac:dyDescent="0.3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</row>
    <row r="762" spans="1:32" x14ac:dyDescent="0.3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</row>
    <row r="763" spans="1:32" x14ac:dyDescent="0.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</row>
    <row r="764" spans="1:32" x14ac:dyDescent="0.3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</row>
    <row r="765" spans="1:32" x14ac:dyDescent="0.3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</row>
    <row r="766" spans="1:32" x14ac:dyDescent="0.3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</row>
    <row r="767" spans="1:32" x14ac:dyDescent="0.3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</row>
    <row r="768" spans="1:32" x14ac:dyDescent="0.3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</row>
    <row r="769" spans="1:32" x14ac:dyDescent="0.3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</row>
    <row r="770" spans="1:32" x14ac:dyDescent="0.3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</row>
    <row r="771" spans="1:32" x14ac:dyDescent="0.3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</row>
    <row r="772" spans="1:32" x14ac:dyDescent="0.3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</row>
    <row r="773" spans="1:32" x14ac:dyDescent="0.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</row>
    <row r="774" spans="1:32" x14ac:dyDescent="0.3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</row>
    <row r="775" spans="1:32" x14ac:dyDescent="0.3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</row>
    <row r="776" spans="1:32" x14ac:dyDescent="0.3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</row>
    <row r="777" spans="1:32" x14ac:dyDescent="0.3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</row>
    <row r="778" spans="1:32" x14ac:dyDescent="0.3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</row>
    <row r="779" spans="1:32" x14ac:dyDescent="0.3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</row>
    <row r="780" spans="1:32" x14ac:dyDescent="0.3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</row>
    <row r="781" spans="1:32" x14ac:dyDescent="0.3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</row>
    <row r="782" spans="1:32" x14ac:dyDescent="0.3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</row>
    <row r="783" spans="1:32" x14ac:dyDescent="0.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</row>
    <row r="784" spans="1:32" x14ac:dyDescent="0.3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</row>
    <row r="785" spans="1:32" x14ac:dyDescent="0.3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</row>
    <row r="786" spans="1:32" x14ac:dyDescent="0.3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</row>
    <row r="787" spans="1:32" x14ac:dyDescent="0.3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</row>
    <row r="788" spans="1:32" x14ac:dyDescent="0.3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</row>
    <row r="789" spans="1:32" x14ac:dyDescent="0.3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</row>
    <row r="790" spans="1:32" x14ac:dyDescent="0.3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</row>
    <row r="791" spans="1:32" x14ac:dyDescent="0.3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</row>
    <row r="792" spans="1:32" x14ac:dyDescent="0.3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</row>
    <row r="793" spans="1:32" x14ac:dyDescent="0.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</row>
    <row r="794" spans="1:32" x14ac:dyDescent="0.3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</row>
    <row r="795" spans="1:32" x14ac:dyDescent="0.3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</row>
    <row r="796" spans="1:32" x14ac:dyDescent="0.3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</row>
    <row r="797" spans="1:32" x14ac:dyDescent="0.3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</row>
    <row r="798" spans="1:32" x14ac:dyDescent="0.3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</row>
    <row r="799" spans="1:32" x14ac:dyDescent="0.3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</row>
    <row r="800" spans="1:32" x14ac:dyDescent="0.3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</row>
    <row r="801" spans="1:32" x14ac:dyDescent="0.3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</row>
    <row r="802" spans="1:32" x14ac:dyDescent="0.3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</row>
    <row r="803" spans="1:32" x14ac:dyDescent="0.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</row>
    <row r="804" spans="1:32" x14ac:dyDescent="0.3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</row>
    <row r="805" spans="1:32" x14ac:dyDescent="0.3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</row>
    <row r="806" spans="1:32" x14ac:dyDescent="0.3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</row>
    <row r="807" spans="1:32" x14ac:dyDescent="0.3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</row>
    <row r="808" spans="1:32" x14ac:dyDescent="0.3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</row>
    <row r="809" spans="1:32" x14ac:dyDescent="0.3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</row>
    <row r="810" spans="1:32" x14ac:dyDescent="0.3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</row>
    <row r="811" spans="1:32" x14ac:dyDescent="0.3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</row>
    <row r="812" spans="1:32" x14ac:dyDescent="0.3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</row>
    <row r="813" spans="1:32" x14ac:dyDescent="0.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</row>
    <row r="814" spans="1:32" x14ac:dyDescent="0.3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</row>
    <row r="815" spans="1:32" x14ac:dyDescent="0.3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</row>
    <row r="816" spans="1:32" x14ac:dyDescent="0.3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</row>
    <row r="817" spans="1:32" x14ac:dyDescent="0.3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</row>
    <row r="818" spans="1:32" x14ac:dyDescent="0.3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</row>
    <row r="819" spans="1:32" x14ac:dyDescent="0.3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</row>
    <row r="820" spans="1:32" x14ac:dyDescent="0.3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</row>
    <row r="821" spans="1:32" x14ac:dyDescent="0.3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</row>
    <row r="822" spans="1:32" x14ac:dyDescent="0.3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</row>
    <row r="823" spans="1:32" x14ac:dyDescent="0.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</row>
    <row r="824" spans="1:32" x14ac:dyDescent="0.3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</row>
    <row r="825" spans="1:32" x14ac:dyDescent="0.3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</row>
    <row r="826" spans="1:32" x14ac:dyDescent="0.3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</row>
    <row r="827" spans="1:32" x14ac:dyDescent="0.3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</row>
    <row r="828" spans="1:32" x14ac:dyDescent="0.3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</row>
    <row r="829" spans="1:32" x14ac:dyDescent="0.3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</row>
    <row r="830" spans="1:32" x14ac:dyDescent="0.3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</row>
    <row r="831" spans="1:32" x14ac:dyDescent="0.3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</row>
    <row r="832" spans="1:32" x14ac:dyDescent="0.3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</row>
    <row r="833" spans="1:32" x14ac:dyDescent="0.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</row>
    <row r="834" spans="1:32" x14ac:dyDescent="0.3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</row>
    <row r="835" spans="1:32" x14ac:dyDescent="0.3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</row>
    <row r="836" spans="1:32" x14ac:dyDescent="0.3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</row>
    <row r="837" spans="1:32" x14ac:dyDescent="0.3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</row>
    <row r="838" spans="1:32" x14ac:dyDescent="0.3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</row>
    <row r="839" spans="1:32" x14ac:dyDescent="0.3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</row>
    <row r="840" spans="1:32" x14ac:dyDescent="0.3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</row>
    <row r="841" spans="1:32" x14ac:dyDescent="0.3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</row>
    <row r="842" spans="1:32" x14ac:dyDescent="0.3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</row>
    <row r="843" spans="1:32" x14ac:dyDescent="0.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</row>
    <row r="844" spans="1:32" x14ac:dyDescent="0.3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</row>
    <row r="845" spans="1:32" x14ac:dyDescent="0.3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</row>
    <row r="846" spans="1:32" x14ac:dyDescent="0.3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</row>
    <row r="847" spans="1:32" x14ac:dyDescent="0.3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</row>
    <row r="848" spans="1:32" x14ac:dyDescent="0.3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</row>
    <row r="849" spans="1:32" x14ac:dyDescent="0.3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</row>
    <row r="850" spans="1:32" x14ac:dyDescent="0.3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</row>
    <row r="851" spans="1:32" x14ac:dyDescent="0.3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</row>
    <row r="852" spans="1:32" x14ac:dyDescent="0.3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</row>
    <row r="853" spans="1:32" x14ac:dyDescent="0.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</row>
    <row r="854" spans="1:32" x14ac:dyDescent="0.3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</row>
    <row r="855" spans="1:32" x14ac:dyDescent="0.3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</row>
    <row r="856" spans="1:32" x14ac:dyDescent="0.3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</row>
    <row r="857" spans="1:32" x14ac:dyDescent="0.3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</row>
    <row r="858" spans="1:32" x14ac:dyDescent="0.3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</row>
    <row r="859" spans="1:32" x14ac:dyDescent="0.3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</row>
    <row r="860" spans="1:32" x14ac:dyDescent="0.3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</row>
    <row r="861" spans="1:32" x14ac:dyDescent="0.3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</row>
    <row r="862" spans="1:32" x14ac:dyDescent="0.3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</row>
    <row r="863" spans="1:32" x14ac:dyDescent="0.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</row>
    <row r="864" spans="1:32" x14ac:dyDescent="0.3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</row>
    <row r="865" spans="1:32" x14ac:dyDescent="0.3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</row>
    <row r="866" spans="1:32" x14ac:dyDescent="0.3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</row>
    <row r="867" spans="1:32" x14ac:dyDescent="0.3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</row>
    <row r="868" spans="1:32" x14ac:dyDescent="0.3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</row>
    <row r="869" spans="1:32" x14ac:dyDescent="0.3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</row>
    <row r="870" spans="1:32" x14ac:dyDescent="0.3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</row>
    <row r="871" spans="1:32" x14ac:dyDescent="0.3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</row>
    <row r="872" spans="1:32" x14ac:dyDescent="0.3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</row>
    <row r="873" spans="1:32" x14ac:dyDescent="0.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</row>
    <row r="874" spans="1:32" x14ac:dyDescent="0.3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</row>
    <row r="875" spans="1:32" x14ac:dyDescent="0.3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</row>
    <row r="876" spans="1:32" x14ac:dyDescent="0.3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</row>
    <row r="877" spans="1:32" x14ac:dyDescent="0.3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</row>
    <row r="878" spans="1:32" x14ac:dyDescent="0.3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</row>
    <row r="879" spans="1:32" x14ac:dyDescent="0.3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</row>
    <row r="880" spans="1:32" x14ac:dyDescent="0.3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</row>
    <row r="881" spans="1:32" x14ac:dyDescent="0.3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</row>
    <row r="882" spans="1:32" x14ac:dyDescent="0.3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</row>
    <row r="883" spans="1:32" x14ac:dyDescent="0.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</row>
    <row r="884" spans="1:32" x14ac:dyDescent="0.3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</row>
    <row r="885" spans="1:32" x14ac:dyDescent="0.3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</row>
    <row r="886" spans="1:32" x14ac:dyDescent="0.3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</row>
    <row r="887" spans="1:32" x14ac:dyDescent="0.3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</row>
    <row r="888" spans="1:32" x14ac:dyDescent="0.3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</row>
    <row r="889" spans="1:32" x14ac:dyDescent="0.3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</row>
    <row r="890" spans="1:32" x14ac:dyDescent="0.3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</row>
    <row r="891" spans="1:32" x14ac:dyDescent="0.3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</row>
    <row r="892" spans="1:32" x14ac:dyDescent="0.3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</row>
    <row r="893" spans="1:32" x14ac:dyDescent="0.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</row>
    <row r="894" spans="1:32" x14ac:dyDescent="0.3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</row>
    <row r="895" spans="1:32" x14ac:dyDescent="0.3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</row>
    <row r="896" spans="1:32" x14ac:dyDescent="0.3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</row>
    <row r="897" spans="1:32" x14ac:dyDescent="0.3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</row>
    <row r="898" spans="1:32" x14ac:dyDescent="0.3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</row>
    <row r="899" spans="1:32" x14ac:dyDescent="0.3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</row>
    <row r="900" spans="1:32" x14ac:dyDescent="0.3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</row>
    <row r="901" spans="1:32" x14ac:dyDescent="0.3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</row>
    <row r="902" spans="1:32" x14ac:dyDescent="0.3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</row>
    <row r="903" spans="1:32" x14ac:dyDescent="0.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</row>
    <row r="904" spans="1:32" x14ac:dyDescent="0.3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</row>
    <row r="905" spans="1:32" x14ac:dyDescent="0.3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</row>
    <row r="906" spans="1:32" x14ac:dyDescent="0.3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</row>
    <row r="907" spans="1:32" x14ac:dyDescent="0.3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</row>
    <row r="908" spans="1:32" x14ac:dyDescent="0.3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</row>
    <row r="909" spans="1:32" x14ac:dyDescent="0.3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</row>
    <row r="910" spans="1:32" x14ac:dyDescent="0.3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</row>
    <row r="911" spans="1:32" x14ac:dyDescent="0.3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</row>
    <row r="912" spans="1:32" x14ac:dyDescent="0.3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</row>
    <row r="913" spans="1:32" x14ac:dyDescent="0.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</row>
    <row r="914" spans="1:32" x14ac:dyDescent="0.3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</row>
    <row r="915" spans="1:32" x14ac:dyDescent="0.3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</row>
    <row r="916" spans="1:32" x14ac:dyDescent="0.3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</row>
    <row r="917" spans="1:32" x14ac:dyDescent="0.3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</row>
    <row r="918" spans="1:32" x14ac:dyDescent="0.3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</row>
    <row r="919" spans="1:32" x14ac:dyDescent="0.3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</row>
    <row r="920" spans="1:32" x14ac:dyDescent="0.3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</row>
    <row r="921" spans="1:32" x14ac:dyDescent="0.3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</row>
    <row r="922" spans="1:32" x14ac:dyDescent="0.3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</row>
    <row r="923" spans="1:32" x14ac:dyDescent="0.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</row>
    <row r="924" spans="1:32" x14ac:dyDescent="0.3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</row>
    <row r="925" spans="1:32" x14ac:dyDescent="0.3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</row>
    <row r="926" spans="1:32" x14ac:dyDescent="0.3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</row>
    <row r="927" spans="1:32" x14ac:dyDescent="0.3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</row>
    <row r="928" spans="1:32" x14ac:dyDescent="0.3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</row>
    <row r="929" spans="1:32" x14ac:dyDescent="0.3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</row>
    <row r="930" spans="1:32" x14ac:dyDescent="0.3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</row>
    <row r="931" spans="1:32" x14ac:dyDescent="0.3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</row>
    <row r="932" spans="1:32" x14ac:dyDescent="0.3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</row>
    <row r="933" spans="1:32" x14ac:dyDescent="0.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</row>
    <row r="934" spans="1:32" x14ac:dyDescent="0.3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</row>
    <row r="935" spans="1:32" x14ac:dyDescent="0.3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</row>
    <row r="936" spans="1:32" x14ac:dyDescent="0.3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</row>
    <row r="937" spans="1:32" x14ac:dyDescent="0.3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</row>
    <row r="938" spans="1:32" x14ac:dyDescent="0.3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</row>
    <row r="939" spans="1:32" x14ac:dyDescent="0.3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</row>
    <row r="940" spans="1:32" x14ac:dyDescent="0.3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</row>
    <row r="941" spans="1:32" x14ac:dyDescent="0.3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</row>
    <row r="942" spans="1:32" x14ac:dyDescent="0.3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</row>
    <row r="943" spans="1:32" x14ac:dyDescent="0.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</row>
    <row r="944" spans="1:32" x14ac:dyDescent="0.3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</row>
    <row r="945" spans="1:32" x14ac:dyDescent="0.3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</row>
    <row r="946" spans="1:32" x14ac:dyDescent="0.3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</row>
    <row r="947" spans="1:32" x14ac:dyDescent="0.3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</row>
    <row r="948" spans="1:32" x14ac:dyDescent="0.3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</row>
    <row r="949" spans="1:32" x14ac:dyDescent="0.3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</row>
    <row r="950" spans="1:32" x14ac:dyDescent="0.3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</row>
    <row r="951" spans="1:32" x14ac:dyDescent="0.3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</row>
    <row r="952" spans="1:32" x14ac:dyDescent="0.3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</row>
    <row r="953" spans="1:32" x14ac:dyDescent="0.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</row>
    <row r="954" spans="1:32" x14ac:dyDescent="0.3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</row>
    <row r="955" spans="1:32" x14ac:dyDescent="0.3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</row>
    <row r="956" spans="1:32" x14ac:dyDescent="0.3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</row>
    <row r="957" spans="1:32" x14ac:dyDescent="0.3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</row>
    <row r="958" spans="1:32" x14ac:dyDescent="0.3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</row>
    <row r="959" spans="1:32" x14ac:dyDescent="0.3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</row>
    <row r="960" spans="1:32" x14ac:dyDescent="0.3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</row>
    <row r="961" spans="1:32" x14ac:dyDescent="0.3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</row>
    <row r="962" spans="1:32" x14ac:dyDescent="0.3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</row>
    <row r="963" spans="1:32" x14ac:dyDescent="0.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</row>
    <row r="964" spans="1:32" x14ac:dyDescent="0.3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</row>
    <row r="965" spans="1:32" x14ac:dyDescent="0.3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</row>
    <row r="966" spans="1:32" x14ac:dyDescent="0.3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</row>
    <row r="967" spans="1:32" x14ac:dyDescent="0.3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</row>
    <row r="968" spans="1:32" x14ac:dyDescent="0.3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</row>
    <row r="969" spans="1:32" x14ac:dyDescent="0.3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</row>
    <row r="970" spans="1:32" x14ac:dyDescent="0.3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</row>
    <row r="971" spans="1:32" x14ac:dyDescent="0.3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</row>
    <row r="972" spans="1:32" x14ac:dyDescent="0.3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</row>
    <row r="973" spans="1:32" x14ac:dyDescent="0.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</row>
    <row r="974" spans="1:32" x14ac:dyDescent="0.3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</row>
    <row r="975" spans="1:32" x14ac:dyDescent="0.3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</row>
    <row r="976" spans="1:32" x14ac:dyDescent="0.3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</row>
    <row r="977" spans="1:32" x14ac:dyDescent="0.3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</row>
    <row r="978" spans="1:32" x14ac:dyDescent="0.3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</row>
    <row r="979" spans="1:32" x14ac:dyDescent="0.3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</row>
    <row r="980" spans="1:32" x14ac:dyDescent="0.3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</row>
    <row r="981" spans="1:32" x14ac:dyDescent="0.3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</row>
    <row r="982" spans="1:32" x14ac:dyDescent="0.3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</row>
    <row r="983" spans="1:32" x14ac:dyDescent="0.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</row>
    <row r="984" spans="1:32" x14ac:dyDescent="0.3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</row>
    <row r="985" spans="1:32" x14ac:dyDescent="0.3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</row>
    <row r="986" spans="1:32" x14ac:dyDescent="0.3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</row>
    <row r="987" spans="1:32" x14ac:dyDescent="0.3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</row>
    <row r="988" spans="1:32" x14ac:dyDescent="0.3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</row>
    <row r="989" spans="1:32" x14ac:dyDescent="0.3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</row>
    <row r="990" spans="1:32" x14ac:dyDescent="0.3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</row>
    <row r="991" spans="1:32" x14ac:dyDescent="0.3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</row>
    <row r="992" spans="1:32" x14ac:dyDescent="0.3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</row>
    <row r="993" spans="1:32" x14ac:dyDescent="0.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</row>
    <row r="994" spans="1:32" x14ac:dyDescent="0.3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</row>
    <row r="995" spans="1:32" x14ac:dyDescent="0.3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</row>
    <row r="996" spans="1:32" x14ac:dyDescent="0.3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</row>
    <row r="997" spans="1:32" x14ac:dyDescent="0.3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</row>
    <row r="998" spans="1:32" x14ac:dyDescent="0.3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</row>
    <row r="999" spans="1:32" x14ac:dyDescent="0.3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</row>
    <row r="1000" spans="1:32" x14ac:dyDescent="0.3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</row>
    <row r="1001" spans="1:32" x14ac:dyDescent="0.3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</row>
    <row r="1002" spans="1:32" x14ac:dyDescent="0.3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</row>
    <row r="1003" spans="1:32" x14ac:dyDescent="0.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</row>
    <row r="1004" spans="1:32" x14ac:dyDescent="0.3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</row>
    <row r="1005" spans="1:32" x14ac:dyDescent="0.3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</row>
    <row r="1006" spans="1:32" x14ac:dyDescent="0.3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</row>
    <row r="1007" spans="1:32" x14ac:dyDescent="0.3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</row>
    <row r="1008" spans="1:32" x14ac:dyDescent="0.3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</row>
    <row r="1009" spans="1:32" x14ac:dyDescent="0.3">
      <c r="A1009" s="74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</row>
    <row r="1010" spans="1:32" x14ac:dyDescent="0.3">
      <c r="A1010" s="74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</row>
    <row r="1011" spans="1:32" x14ac:dyDescent="0.3">
      <c r="A1011" s="74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</row>
    <row r="1012" spans="1:32" x14ac:dyDescent="0.3">
      <c r="A1012" s="74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</row>
    <row r="1013" spans="1:32" x14ac:dyDescent="0.3">
      <c r="A1013" s="74"/>
      <c r="B1013" s="74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</row>
    <row r="1014" spans="1:32" x14ac:dyDescent="0.3">
      <c r="A1014" s="74"/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</row>
    <row r="1015" spans="1:32" x14ac:dyDescent="0.3">
      <c r="A1015" s="74"/>
      <c r="B1015" s="74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</row>
    <row r="1016" spans="1:32" x14ac:dyDescent="0.3">
      <c r="A1016" s="74"/>
      <c r="B1016" s="74"/>
      <c r="C1016" s="74"/>
      <c r="D1016" s="74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</row>
    <row r="1017" spans="1:32" x14ac:dyDescent="0.3">
      <c r="A1017" s="74"/>
      <c r="B1017" s="74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  <c r="AE1017" s="74"/>
      <c r="AF1017" s="74"/>
    </row>
    <row r="1018" spans="1:32" x14ac:dyDescent="0.3">
      <c r="A1018" s="74"/>
      <c r="B1018" s="74"/>
      <c r="C1018" s="74"/>
      <c r="D1018" s="74"/>
      <c r="E1018" s="74"/>
      <c r="F1018" s="74"/>
      <c r="G1018" s="74"/>
      <c r="H1018" s="74"/>
      <c r="I1018" s="74"/>
      <c r="J1018" s="74"/>
      <c r="K1018" s="74"/>
      <c r="L1018" s="74"/>
      <c r="M1018" s="74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  <c r="AE1018" s="74"/>
      <c r="AF1018" s="74"/>
    </row>
    <row r="1019" spans="1:32" x14ac:dyDescent="0.3">
      <c r="A1019" s="74"/>
      <c r="B1019" s="74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4"/>
      <c r="P1019" s="74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  <c r="AE1019" s="74"/>
      <c r="AF1019" s="74"/>
    </row>
    <row r="1020" spans="1:32" x14ac:dyDescent="0.3">
      <c r="A1020" s="74"/>
      <c r="B1020" s="74"/>
      <c r="C1020" s="74"/>
      <c r="D1020" s="74"/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4"/>
      <c r="P1020" s="74"/>
      <c r="Q1020" s="74"/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  <c r="AC1020" s="74"/>
      <c r="AD1020" s="74"/>
      <c r="AE1020" s="74"/>
      <c r="AF1020" s="74"/>
    </row>
  </sheetData>
  <mergeCells count="4">
    <mergeCell ref="A50:E50"/>
    <mergeCell ref="A53:B53"/>
    <mergeCell ref="C53:Q53"/>
    <mergeCell ref="A77:E77"/>
  </mergeCells>
  <hyperlinks>
    <hyperlink ref="A1" r:id="rId1" display="http://s.no/" xr:uid="{99468F23-5D84-43D9-BCDC-4748412F9D1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09CE-A99D-4497-93DE-D975F5090416}">
  <sheetPr>
    <tabColor rgb="FF002060"/>
  </sheetPr>
  <dimension ref="A1:AD1050"/>
  <sheetViews>
    <sheetView workbookViewId="0">
      <selection activeCell="E7" sqref="E7"/>
    </sheetView>
  </sheetViews>
  <sheetFormatPr defaultRowHeight="14.4" x14ac:dyDescent="0.3"/>
  <cols>
    <col min="1" max="1" width="5.5546875" bestFit="1" customWidth="1"/>
    <col min="2" max="2" width="10.6640625" bestFit="1" customWidth="1"/>
    <col min="3" max="3" width="9.33203125" bestFit="1" customWidth="1"/>
    <col min="4" max="4" width="43.88671875" bestFit="1" customWidth="1"/>
    <col min="5" max="5" width="19" bestFit="1" customWidth="1"/>
    <col min="6" max="6" width="10.6640625" bestFit="1" customWidth="1"/>
    <col min="7" max="7" width="6" bestFit="1" customWidth="1"/>
    <col min="8" max="8" width="10.6640625" bestFit="1" customWidth="1"/>
    <col min="9" max="9" width="4.6640625" bestFit="1" customWidth="1"/>
    <col min="10" max="10" width="11.88671875" bestFit="1" customWidth="1"/>
    <col min="11" max="12" width="10.88671875" bestFit="1" customWidth="1"/>
    <col min="13" max="13" width="11.88671875" bestFit="1" customWidth="1"/>
    <col min="14" max="14" width="14" bestFit="1" customWidth="1"/>
    <col min="15" max="15" width="12.88671875" bestFit="1" customWidth="1"/>
    <col min="16" max="16" width="1.88671875" bestFit="1" customWidth="1"/>
    <col min="17" max="17" width="11.109375" bestFit="1" customWidth="1"/>
    <col min="18" max="18" width="11.88671875" bestFit="1" customWidth="1"/>
  </cols>
  <sheetData>
    <row r="1" spans="1:30" x14ac:dyDescent="0.3">
      <c r="A1" s="90" t="s">
        <v>174</v>
      </c>
      <c r="B1" s="73" t="s">
        <v>26</v>
      </c>
      <c r="C1" s="73" t="s">
        <v>27</v>
      </c>
      <c r="D1" s="73" t="s">
        <v>28</v>
      </c>
      <c r="E1" s="73" t="s">
        <v>29</v>
      </c>
      <c r="F1" s="73" t="s">
        <v>110</v>
      </c>
      <c r="G1" s="73" t="s">
        <v>34</v>
      </c>
      <c r="H1" s="73" t="s">
        <v>127</v>
      </c>
      <c r="I1" s="73" t="s">
        <v>34</v>
      </c>
      <c r="J1" s="73" t="s">
        <v>128</v>
      </c>
      <c r="K1" s="73" t="s">
        <v>36</v>
      </c>
      <c r="L1" s="73" t="s">
        <v>37</v>
      </c>
      <c r="M1" s="73" t="s">
        <v>38</v>
      </c>
      <c r="N1" s="73" t="s">
        <v>129</v>
      </c>
      <c r="O1" s="73" t="s">
        <v>130</v>
      </c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</row>
    <row r="2" spans="1:30" x14ac:dyDescent="0.3">
      <c r="A2" s="60">
        <v>1</v>
      </c>
      <c r="B2" s="77" t="s">
        <v>384</v>
      </c>
      <c r="C2" s="62">
        <v>45811</v>
      </c>
      <c r="D2" s="63" t="s">
        <v>385</v>
      </c>
      <c r="E2" s="64" t="s">
        <v>85</v>
      </c>
      <c r="F2" s="75">
        <v>4820</v>
      </c>
      <c r="G2" s="75">
        <v>3000</v>
      </c>
      <c r="H2" s="68"/>
      <c r="I2" s="68"/>
      <c r="J2" s="75">
        <v>19855</v>
      </c>
      <c r="K2" s="64">
        <v>0</v>
      </c>
      <c r="L2" s="64">
        <v>0</v>
      </c>
      <c r="M2" s="64">
        <v>3573.9</v>
      </c>
      <c r="N2" s="64">
        <v>0</v>
      </c>
      <c r="O2" s="65">
        <v>23428.9</v>
      </c>
      <c r="P2" s="74"/>
      <c r="Q2" s="74"/>
      <c r="R2" s="76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</row>
    <row r="3" spans="1:30" x14ac:dyDescent="0.3">
      <c r="A3" s="60">
        <v>2</v>
      </c>
      <c r="B3" s="77" t="s">
        <v>386</v>
      </c>
      <c r="C3" s="62">
        <v>45811</v>
      </c>
      <c r="D3" s="63" t="s">
        <v>385</v>
      </c>
      <c r="E3" s="64" t="s">
        <v>85</v>
      </c>
      <c r="F3" s="75">
        <v>4820</v>
      </c>
      <c r="G3" s="75">
        <v>1000</v>
      </c>
      <c r="H3" s="68"/>
      <c r="I3" s="68"/>
      <c r="J3" s="75">
        <v>1800</v>
      </c>
      <c r="K3" s="64">
        <v>0</v>
      </c>
      <c r="L3" s="64">
        <v>0</v>
      </c>
      <c r="M3" s="64">
        <v>324</v>
      </c>
      <c r="N3" s="64">
        <v>0</v>
      </c>
      <c r="O3" s="65">
        <v>2124</v>
      </c>
      <c r="P3" s="74"/>
      <c r="Q3" s="74"/>
      <c r="R3" s="76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</row>
    <row r="4" spans="1:30" x14ac:dyDescent="0.3">
      <c r="A4" s="60">
        <v>3</v>
      </c>
      <c r="B4" s="77" t="s">
        <v>387</v>
      </c>
      <c r="C4" s="62">
        <v>45811</v>
      </c>
      <c r="D4" s="63" t="s">
        <v>385</v>
      </c>
      <c r="E4" s="64" t="s">
        <v>85</v>
      </c>
      <c r="F4" s="75">
        <v>4820</v>
      </c>
      <c r="G4" s="75">
        <v>30</v>
      </c>
      <c r="H4" s="68"/>
      <c r="I4" s="68"/>
      <c r="J4" s="75">
        <v>2700</v>
      </c>
      <c r="K4" s="64">
        <v>0</v>
      </c>
      <c r="L4" s="64">
        <v>0</v>
      </c>
      <c r="M4" s="64">
        <v>486</v>
      </c>
      <c r="N4" s="64">
        <v>0</v>
      </c>
      <c r="O4" s="65">
        <v>3186</v>
      </c>
      <c r="P4" s="74"/>
      <c r="Q4" s="74"/>
      <c r="R4" s="76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</row>
    <row r="5" spans="1:30" x14ac:dyDescent="0.3">
      <c r="A5" s="60">
        <v>4</v>
      </c>
      <c r="B5" s="77" t="s">
        <v>388</v>
      </c>
      <c r="C5" s="62">
        <v>45811</v>
      </c>
      <c r="D5" s="63" t="s">
        <v>51</v>
      </c>
      <c r="E5" s="64" t="s">
        <v>52</v>
      </c>
      <c r="F5" s="75">
        <v>7219</v>
      </c>
      <c r="G5" s="75">
        <v>50</v>
      </c>
      <c r="H5" s="68"/>
      <c r="I5" s="68"/>
      <c r="J5" s="75">
        <v>52500</v>
      </c>
      <c r="K5" s="64">
        <v>0</v>
      </c>
      <c r="L5" s="64">
        <v>0</v>
      </c>
      <c r="M5" s="64">
        <v>9450</v>
      </c>
      <c r="N5" s="64">
        <v>0</v>
      </c>
      <c r="O5" s="65">
        <v>61950</v>
      </c>
      <c r="P5" s="74"/>
      <c r="Q5" s="74"/>
      <c r="R5" s="76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</row>
    <row r="6" spans="1:30" x14ac:dyDescent="0.3">
      <c r="A6" s="60">
        <v>5</v>
      </c>
      <c r="B6" s="77" t="s">
        <v>389</v>
      </c>
      <c r="C6" s="62">
        <v>45813</v>
      </c>
      <c r="D6" s="63" t="s">
        <v>48</v>
      </c>
      <c r="E6" s="64" t="s">
        <v>49</v>
      </c>
      <c r="F6" s="75">
        <v>4911000</v>
      </c>
      <c r="G6" s="75">
        <v>61990</v>
      </c>
      <c r="H6" s="68"/>
      <c r="I6" s="68"/>
      <c r="J6" s="75">
        <v>77075.7</v>
      </c>
      <c r="K6" s="64">
        <v>0</v>
      </c>
      <c r="L6" s="64">
        <v>0</v>
      </c>
      <c r="M6" s="64">
        <v>13873.626</v>
      </c>
      <c r="N6" s="64">
        <v>0</v>
      </c>
      <c r="O6" s="65">
        <v>90949.33</v>
      </c>
      <c r="P6" s="74"/>
      <c r="Q6" s="74"/>
      <c r="R6" s="76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</row>
    <row r="7" spans="1:30" x14ac:dyDescent="0.3">
      <c r="A7" s="60">
        <v>6</v>
      </c>
      <c r="B7" s="77" t="s">
        <v>390</v>
      </c>
      <c r="C7" s="62">
        <v>45813</v>
      </c>
      <c r="D7" s="63" t="s">
        <v>391</v>
      </c>
      <c r="E7" s="64" t="s">
        <v>58</v>
      </c>
      <c r="F7" s="75">
        <v>4911</v>
      </c>
      <c r="G7" s="75">
        <v>324</v>
      </c>
      <c r="H7" s="68"/>
      <c r="I7" s="68"/>
      <c r="J7" s="75">
        <v>24472</v>
      </c>
      <c r="K7" s="64">
        <v>2202.48</v>
      </c>
      <c r="L7" s="64">
        <v>2202.48</v>
      </c>
      <c r="M7" s="64">
        <v>0</v>
      </c>
      <c r="N7" s="64">
        <v>0</v>
      </c>
      <c r="O7" s="65">
        <v>28876.959999999999</v>
      </c>
      <c r="P7" s="74"/>
      <c r="Q7" s="74"/>
      <c r="R7" s="76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</row>
    <row r="8" spans="1:30" x14ac:dyDescent="0.3">
      <c r="A8" s="66"/>
      <c r="B8" s="67"/>
      <c r="C8" s="63"/>
      <c r="D8" s="63"/>
      <c r="E8" s="63"/>
      <c r="F8" s="75">
        <v>3919</v>
      </c>
      <c r="G8" s="75">
        <v>21</v>
      </c>
      <c r="H8" s="68"/>
      <c r="I8" s="68"/>
      <c r="J8" s="68"/>
      <c r="K8" s="63"/>
      <c r="L8" s="63"/>
      <c r="M8" s="63"/>
      <c r="N8" s="63"/>
      <c r="O8" s="68"/>
      <c r="P8" s="74"/>
      <c r="Q8" s="74"/>
      <c r="R8" s="76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</row>
    <row r="9" spans="1:30" x14ac:dyDescent="0.3">
      <c r="A9" s="60">
        <v>7</v>
      </c>
      <c r="B9" s="77" t="s">
        <v>392</v>
      </c>
      <c r="C9" s="62">
        <v>45813</v>
      </c>
      <c r="D9" s="63" t="s">
        <v>391</v>
      </c>
      <c r="E9" s="64" t="s">
        <v>58</v>
      </c>
      <c r="F9" s="75">
        <v>4911</v>
      </c>
      <c r="G9" s="75">
        <v>77000</v>
      </c>
      <c r="H9" s="68"/>
      <c r="I9" s="68"/>
      <c r="J9" s="75">
        <v>4620</v>
      </c>
      <c r="K9" s="64">
        <v>415.8</v>
      </c>
      <c r="L9" s="64">
        <v>415.8</v>
      </c>
      <c r="M9" s="64">
        <v>0</v>
      </c>
      <c r="N9" s="64">
        <v>0</v>
      </c>
      <c r="O9" s="65">
        <v>5451.6</v>
      </c>
      <c r="P9" s="74"/>
      <c r="Q9" s="74"/>
      <c r="R9" s="76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 spans="1:30" x14ac:dyDescent="0.3">
      <c r="A10" s="60">
        <v>8</v>
      </c>
      <c r="B10" s="77" t="s">
        <v>393</v>
      </c>
      <c r="C10" s="62">
        <v>45813</v>
      </c>
      <c r="D10" s="63" t="s">
        <v>391</v>
      </c>
      <c r="E10" s="64" t="s">
        <v>58</v>
      </c>
      <c r="F10" s="75">
        <v>4820</v>
      </c>
      <c r="G10" s="75">
        <v>40</v>
      </c>
      <c r="H10" s="68"/>
      <c r="I10" s="68"/>
      <c r="J10" s="75">
        <v>1460.2</v>
      </c>
      <c r="K10" s="64">
        <v>131.41800000000001</v>
      </c>
      <c r="L10" s="64">
        <v>131.41800000000001</v>
      </c>
      <c r="M10" s="64">
        <v>0</v>
      </c>
      <c r="N10" s="64">
        <v>0</v>
      </c>
      <c r="O10" s="65">
        <v>1723.04</v>
      </c>
      <c r="P10" s="74"/>
      <c r="Q10" s="74"/>
      <c r="R10" s="76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</row>
    <row r="11" spans="1:30" x14ac:dyDescent="0.3">
      <c r="A11" s="66"/>
      <c r="B11" s="67"/>
      <c r="C11" s="63"/>
      <c r="D11" s="63"/>
      <c r="E11" s="63"/>
      <c r="F11" s="75">
        <v>4820</v>
      </c>
      <c r="G11" s="75">
        <v>13005</v>
      </c>
      <c r="H11" s="68"/>
      <c r="I11" s="68"/>
      <c r="J11" s="68"/>
      <c r="K11" s="63"/>
      <c r="L11" s="63"/>
      <c r="M11" s="63"/>
      <c r="N11" s="63"/>
      <c r="O11" s="68"/>
      <c r="P11" s="74"/>
      <c r="Q11" s="74"/>
      <c r="R11" s="76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</row>
    <row r="12" spans="1:30" x14ac:dyDescent="0.3">
      <c r="A12" s="60">
        <v>9</v>
      </c>
      <c r="B12" s="77" t="s">
        <v>394</v>
      </c>
      <c r="C12" s="62">
        <v>45813</v>
      </c>
      <c r="D12" s="63" t="s">
        <v>395</v>
      </c>
      <c r="E12" s="64" t="s">
        <v>43</v>
      </c>
      <c r="F12" s="75">
        <v>4820</v>
      </c>
      <c r="G12" s="75">
        <v>750</v>
      </c>
      <c r="H12" s="68"/>
      <c r="I12" s="68"/>
      <c r="J12" s="75">
        <v>10500</v>
      </c>
      <c r="K12" s="64">
        <v>945</v>
      </c>
      <c r="L12" s="64">
        <v>945</v>
      </c>
      <c r="M12" s="64">
        <v>0</v>
      </c>
      <c r="N12" s="64">
        <v>0</v>
      </c>
      <c r="O12" s="65">
        <v>12390</v>
      </c>
      <c r="P12" s="74"/>
      <c r="Q12" s="74"/>
      <c r="R12" s="76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</row>
    <row r="13" spans="1:30" x14ac:dyDescent="0.3">
      <c r="A13" s="60">
        <v>10</v>
      </c>
      <c r="B13" s="61" t="s">
        <v>396</v>
      </c>
      <c r="C13" s="62">
        <v>45814</v>
      </c>
      <c r="D13" s="63" t="s">
        <v>337</v>
      </c>
      <c r="E13" s="64" t="s">
        <v>46</v>
      </c>
      <c r="F13" s="75">
        <v>4820</v>
      </c>
      <c r="G13" s="75">
        <v>14</v>
      </c>
      <c r="H13" s="68"/>
      <c r="I13" s="68"/>
      <c r="J13" s="75">
        <v>10580</v>
      </c>
      <c r="K13" s="64">
        <v>952.2</v>
      </c>
      <c r="L13" s="64">
        <v>952.2</v>
      </c>
      <c r="M13" s="64">
        <v>0</v>
      </c>
      <c r="N13" s="64">
        <v>0</v>
      </c>
      <c r="O13" s="65">
        <v>12484.4</v>
      </c>
      <c r="P13" s="74"/>
      <c r="Q13" s="74"/>
      <c r="R13" s="76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</row>
    <row r="14" spans="1:30" x14ac:dyDescent="0.3">
      <c r="A14" s="66"/>
      <c r="B14" s="67"/>
      <c r="C14" s="63"/>
      <c r="D14" s="63"/>
      <c r="E14" s="63"/>
      <c r="F14" s="75">
        <v>4820</v>
      </c>
      <c r="G14" s="75">
        <v>5</v>
      </c>
      <c r="H14" s="68"/>
      <c r="I14" s="68"/>
      <c r="J14" s="68"/>
      <c r="K14" s="63"/>
      <c r="L14" s="63"/>
      <c r="M14" s="63"/>
      <c r="N14" s="63"/>
      <c r="O14" s="68"/>
      <c r="P14" s="74"/>
      <c r="Q14" s="74"/>
      <c r="R14" s="76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</row>
    <row r="15" spans="1:30" x14ac:dyDescent="0.3">
      <c r="A15" s="66"/>
      <c r="B15" s="67"/>
      <c r="C15" s="63"/>
      <c r="D15" s="63"/>
      <c r="E15" s="63"/>
      <c r="F15" s="75">
        <v>4820</v>
      </c>
      <c r="G15" s="75">
        <v>50</v>
      </c>
      <c r="H15" s="68"/>
      <c r="I15" s="68"/>
      <c r="J15" s="68"/>
      <c r="K15" s="63"/>
      <c r="L15" s="63"/>
      <c r="M15" s="63"/>
      <c r="N15" s="63"/>
      <c r="O15" s="68"/>
      <c r="P15" s="74"/>
      <c r="Q15" s="74"/>
      <c r="R15" s="76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</row>
    <row r="16" spans="1:30" x14ac:dyDescent="0.3">
      <c r="A16" s="60">
        <v>11</v>
      </c>
      <c r="B16" s="77" t="s">
        <v>397</v>
      </c>
      <c r="C16" s="62">
        <v>45819</v>
      </c>
      <c r="D16" s="63" t="s">
        <v>135</v>
      </c>
      <c r="E16" s="64" t="s">
        <v>94</v>
      </c>
      <c r="F16" s="75">
        <v>4820</v>
      </c>
      <c r="G16" s="75">
        <v>67</v>
      </c>
      <c r="H16" s="68"/>
      <c r="I16" s="68"/>
      <c r="J16" s="75">
        <v>5685</v>
      </c>
      <c r="K16" s="64">
        <v>511.65</v>
      </c>
      <c r="L16" s="64">
        <v>511.65</v>
      </c>
      <c r="M16" s="64">
        <v>0</v>
      </c>
      <c r="N16" s="64">
        <v>0</v>
      </c>
      <c r="O16" s="65">
        <v>6708.3</v>
      </c>
      <c r="P16" s="74"/>
      <c r="Q16" s="74"/>
      <c r="R16" s="76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</row>
    <row r="17" spans="1:30" x14ac:dyDescent="0.3">
      <c r="A17" s="66"/>
      <c r="B17" s="67"/>
      <c r="C17" s="63"/>
      <c r="D17" s="63"/>
      <c r="E17" s="63"/>
      <c r="F17" s="75">
        <v>4820</v>
      </c>
      <c r="G17" s="75">
        <v>4</v>
      </c>
      <c r="H17" s="68"/>
      <c r="I17" s="68"/>
      <c r="J17" s="68"/>
      <c r="K17" s="63"/>
      <c r="L17" s="63"/>
      <c r="M17" s="63"/>
      <c r="N17" s="63"/>
      <c r="O17" s="68"/>
      <c r="P17" s="74"/>
      <c r="Q17" s="74"/>
      <c r="R17" s="76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</row>
    <row r="18" spans="1:30" x14ac:dyDescent="0.3">
      <c r="A18" s="66"/>
      <c r="B18" s="67"/>
      <c r="C18" s="63"/>
      <c r="D18" s="63"/>
      <c r="E18" s="63"/>
      <c r="F18" s="75">
        <v>4820</v>
      </c>
      <c r="G18" s="75">
        <v>2</v>
      </c>
      <c r="H18" s="68"/>
      <c r="I18" s="68"/>
      <c r="J18" s="68"/>
      <c r="K18" s="63"/>
      <c r="L18" s="63"/>
      <c r="M18" s="63"/>
      <c r="N18" s="63"/>
      <c r="O18" s="68"/>
      <c r="P18" s="74"/>
      <c r="Q18" s="74"/>
      <c r="R18" s="76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</row>
    <row r="19" spans="1:30" x14ac:dyDescent="0.3">
      <c r="A19" s="60">
        <v>12</v>
      </c>
      <c r="B19" s="61" t="s">
        <v>398</v>
      </c>
      <c r="C19" s="62">
        <v>45819</v>
      </c>
      <c r="D19" s="63" t="s">
        <v>391</v>
      </c>
      <c r="E19" s="64" t="s">
        <v>58</v>
      </c>
      <c r="F19" s="75">
        <v>4820</v>
      </c>
      <c r="G19" s="75">
        <v>40</v>
      </c>
      <c r="H19" s="68"/>
      <c r="I19" s="68"/>
      <c r="J19" s="75">
        <v>3860</v>
      </c>
      <c r="K19" s="64">
        <v>347.4</v>
      </c>
      <c r="L19" s="64">
        <v>347.4</v>
      </c>
      <c r="M19" s="64">
        <v>0</v>
      </c>
      <c r="N19" s="64">
        <v>0</v>
      </c>
      <c r="O19" s="65">
        <v>4554.8</v>
      </c>
      <c r="P19" s="74"/>
      <c r="Q19" s="74"/>
      <c r="R19" s="76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</row>
    <row r="20" spans="1:30" x14ac:dyDescent="0.3">
      <c r="A20" s="60">
        <v>13</v>
      </c>
      <c r="B20" s="77" t="s">
        <v>399</v>
      </c>
      <c r="C20" s="62">
        <v>45819</v>
      </c>
      <c r="D20" s="63" t="s">
        <v>391</v>
      </c>
      <c r="E20" s="64" t="s">
        <v>58</v>
      </c>
      <c r="F20" s="75">
        <v>9403</v>
      </c>
      <c r="G20" s="75">
        <v>268</v>
      </c>
      <c r="H20" s="68"/>
      <c r="I20" s="68"/>
      <c r="J20" s="75">
        <v>25460</v>
      </c>
      <c r="K20" s="64">
        <v>2291.4</v>
      </c>
      <c r="L20" s="64">
        <v>2291.4</v>
      </c>
      <c r="M20" s="64">
        <v>0</v>
      </c>
      <c r="N20" s="64">
        <v>0</v>
      </c>
      <c r="O20" s="65">
        <v>30042.799999999999</v>
      </c>
      <c r="P20" s="74"/>
      <c r="Q20" s="74"/>
      <c r="R20" s="76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</row>
    <row r="21" spans="1:30" x14ac:dyDescent="0.3">
      <c r="A21" s="60">
        <v>14</v>
      </c>
      <c r="B21" s="61" t="s">
        <v>400</v>
      </c>
      <c r="C21" s="62">
        <v>45820</v>
      </c>
      <c r="D21" s="63" t="s">
        <v>385</v>
      </c>
      <c r="E21" s="64" t="s">
        <v>85</v>
      </c>
      <c r="F21" s="75">
        <v>4911</v>
      </c>
      <c r="G21" s="75">
        <v>2</v>
      </c>
      <c r="H21" s="68"/>
      <c r="I21" s="68"/>
      <c r="J21" s="75">
        <v>18000</v>
      </c>
      <c r="K21" s="64">
        <v>0</v>
      </c>
      <c r="L21" s="64">
        <v>0</v>
      </c>
      <c r="M21" s="64">
        <v>3240</v>
      </c>
      <c r="N21" s="64">
        <v>0</v>
      </c>
      <c r="O21" s="65">
        <v>21240</v>
      </c>
      <c r="P21" s="74"/>
      <c r="Q21" s="74"/>
      <c r="R21" s="76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</row>
    <row r="22" spans="1:30" x14ac:dyDescent="0.3">
      <c r="A22" s="60">
        <v>15</v>
      </c>
      <c r="B22" s="61" t="s">
        <v>401</v>
      </c>
      <c r="C22" s="62">
        <v>45820</v>
      </c>
      <c r="D22" s="63" t="s">
        <v>385</v>
      </c>
      <c r="E22" s="64" t="s">
        <v>85</v>
      </c>
      <c r="F22" s="75">
        <v>4820</v>
      </c>
      <c r="G22" s="75">
        <v>40</v>
      </c>
      <c r="H22" s="68"/>
      <c r="I22" s="68"/>
      <c r="J22" s="75">
        <v>5600</v>
      </c>
      <c r="K22" s="64">
        <v>0</v>
      </c>
      <c r="L22" s="64">
        <v>0</v>
      </c>
      <c r="M22" s="64">
        <v>1008</v>
      </c>
      <c r="N22" s="64">
        <v>0</v>
      </c>
      <c r="O22" s="65">
        <v>6608</v>
      </c>
      <c r="P22" s="74"/>
      <c r="Q22" s="74"/>
      <c r="R22" s="76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</row>
    <row r="23" spans="1:30" x14ac:dyDescent="0.3">
      <c r="A23" s="60">
        <v>16</v>
      </c>
      <c r="B23" s="61" t="s">
        <v>402</v>
      </c>
      <c r="C23" s="62">
        <v>45820</v>
      </c>
      <c r="D23" s="63" t="s">
        <v>385</v>
      </c>
      <c r="E23" s="64" t="s">
        <v>85</v>
      </c>
      <c r="F23" s="75">
        <v>4820</v>
      </c>
      <c r="G23" s="75">
        <v>7</v>
      </c>
      <c r="H23" s="68"/>
      <c r="I23" s="68"/>
      <c r="J23" s="75">
        <v>2330</v>
      </c>
      <c r="K23" s="64">
        <v>0</v>
      </c>
      <c r="L23" s="64">
        <v>0</v>
      </c>
      <c r="M23" s="64">
        <v>419.4</v>
      </c>
      <c r="N23" s="64">
        <v>0</v>
      </c>
      <c r="O23" s="65">
        <v>2749.4</v>
      </c>
      <c r="P23" s="74"/>
      <c r="Q23" s="74"/>
      <c r="R23" s="76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</row>
    <row r="24" spans="1:30" x14ac:dyDescent="0.3">
      <c r="A24" s="60">
        <v>17</v>
      </c>
      <c r="B24" s="61" t="s">
        <v>403</v>
      </c>
      <c r="C24" s="62">
        <v>45820</v>
      </c>
      <c r="D24" s="63" t="s">
        <v>385</v>
      </c>
      <c r="E24" s="64" t="s">
        <v>85</v>
      </c>
      <c r="F24" s="75">
        <v>4911</v>
      </c>
      <c r="G24" s="75">
        <v>1</v>
      </c>
      <c r="H24" s="68"/>
      <c r="I24" s="68"/>
      <c r="J24" s="75">
        <v>8000</v>
      </c>
      <c r="K24" s="64">
        <v>0</v>
      </c>
      <c r="L24" s="64">
        <v>0</v>
      </c>
      <c r="M24" s="64">
        <v>1440</v>
      </c>
      <c r="N24" s="64">
        <v>0</v>
      </c>
      <c r="O24" s="65">
        <v>9440</v>
      </c>
      <c r="P24" s="74"/>
      <c r="Q24" s="74"/>
      <c r="R24" s="76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</row>
    <row r="25" spans="1:30" x14ac:dyDescent="0.3">
      <c r="A25" s="60">
        <v>18</v>
      </c>
      <c r="B25" s="77" t="s">
        <v>404</v>
      </c>
      <c r="C25" s="62">
        <v>45824</v>
      </c>
      <c r="D25" s="63" t="s">
        <v>135</v>
      </c>
      <c r="E25" s="64" t="s">
        <v>94</v>
      </c>
      <c r="F25" s="75">
        <v>7206</v>
      </c>
      <c r="G25" s="75">
        <v>1</v>
      </c>
      <c r="H25" s="68"/>
      <c r="I25" s="68"/>
      <c r="J25" s="75">
        <v>27500</v>
      </c>
      <c r="K25" s="64">
        <v>2475</v>
      </c>
      <c r="L25" s="64">
        <v>2475</v>
      </c>
      <c r="M25" s="64">
        <v>0</v>
      </c>
      <c r="N25" s="64">
        <v>0</v>
      </c>
      <c r="O25" s="65">
        <v>32450</v>
      </c>
      <c r="P25" s="74"/>
      <c r="Q25" s="74"/>
      <c r="R25" s="76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</row>
    <row r="26" spans="1:30" x14ac:dyDescent="0.3">
      <c r="A26" s="60">
        <v>19</v>
      </c>
      <c r="B26" s="61" t="s">
        <v>405</v>
      </c>
      <c r="C26" s="62">
        <v>45824</v>
      </c>
      <c r="D26" s="63" t="s">
        <v>337</v>
      </c>
      <c r="E26" s="64" t="s">
        <v>46</v>
      </c>
      <c r="F26" s="75">
        <v>4820</v>
      </c>
      <c r="G26" s="75">
        <v>106</v>
      </c>
      <c r="H26" s="68"/>
      <c r="I26" s="68"/>
      <c r="J26" s="75">
        <v>21320</v>
      </c>
      <c r="K26" s="64">
        <v>1918.8</v>
      </c>
      <c r="L26" s="64">
        <v>1918.8</v>
      </c>
      <c r="M26" s="64">
        <v>0</v>
      </c>
      <c r="N26" s="64">
        <v>0</v>
      </c>
      <c r="O26" s="65">
        <v>25157.599999999999</v>
      </c>
      <c r="P26" s="74"/>
      <c r="Q26" s="74"/>
      <c r="R26" s="76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</row>
    <row r="27" spans="1:30" x14ac:dyDescent="0.3">
      <c r="A27" s="66"/>
      <c r="B27" s="67"/>
      <c r="C27" s="63"/>
      <c r="D27" s="63"/>
      <c r="E27" s="63"/>
      <c r="F27" s="75">
        <v>4820</v>
      </c>
      <c r="G27" s="75">
        <v>2</v>
      </c>
      <c r="H27" s="68"/>
      <c r="I27" s="68"/>
      <c r="J27" s="68"/>
      <c r="K27" s="63"/>
      <c r="L27" s="63"/>
      <c r="M27" s="63"/>
      <c r="N27" s="63"/>
      <c r="O27" s="68"/>
      <c r="P27" s="74"/>
      <c r="Q27" s="74"/>
      <c r="R27" s="76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</row>
    <row r="28" spans="1:30" x14ac:dyDescent="0.3">
      <c r="A28" s="60">
        <v>20</v>
      </c>
      <c r="B28" s="77" t="s">
        <v>406</v>
      </c>
      <c r="C28" s="62">
        <v>45824</v>
      </c>
      <c r="D28" s="63" t="s">
        <v>407</v>
      </c>
      <c r="E28" s="64" t="s">
        <v>76</v>
      </c>
      <c r="F28" s="75">
        <v>3919</v>
      </c>
      <c r="G28" s="75">
        <v>3346</v>
      </c>
      <c r="H28" s="68"/>
      <c r="I28" s="68"/>
      <c r="J28" s="75">
        <v>36806</v>
      </c>
      <c r="K28" s="64">
        <v>0</v>
      </c>
      <c r="L28" s="64">
        <v>0</v>
      </c>
      <c r="M28" s="64">
        <v>6625.08</v>
      </c>
      <c r="N28" s="64">
        <v>0</v>
      </c>
      <c r="O28" s="65">
        <v>43431.08</v>
      </c>
      <c r="P28" s="74"/>
      <c r="Q28" s="92"/>
      <c r="R28" s="93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</row>
    <row r="29" spans="1:30" x14ac:dyDescent="0.3">
      <c r="A29" s="60">
        <v>21</v>
      </c>
      <c r="B29" s="61" t="s">
        <v>408</v>
      </c>
      <c r="C29" s="63"/>
      <c r="D29" s="64" t="s">
        <v>314</v>
      </c>
      <c r="E29" s="63"/>
      <c r="F29" s="68"/>
      <c r="G29" s="68"/>
      <c r="H29" s="68"/>
      <c r="I29" s="68"/>
      <c r="J29" s="68"/>
      <c r="K29" s="63"/>
      <c r="L29" s="63"/>
      <c r="M29" s="63"/>
      <c r="N29" s="63"/>
      <c r="O29" s="68"/>
      <c r="P29" s="94"/>
      <c r="Q29" s="95" t="s">
        <v>409</v>
      </c>
      <c r="R29" s="100">
        <v>944632.36</v>
      </c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</row>
    <row r="30" spans="1:30" x14ac:dyDescent="0.3">
      <c r="A30" s="60">
        <v>22</v>
      </c>
      <c r="B30" s="61" t="s">
        <v>410</v>
      </c>
      <c r="C30" s="62">
        <v>45825</v>
      </c>
      <c r="D30" s="63" t="s">
        <v>391</v>
      </c>
      <c r="E30" s="64" t="s">
        <v>58</v>
      </c>
      <c r="F30" s="75">
        <v>4820</v>
      </c>
      <c r="G30" s="75">
        <v>70</v>
      </c>
      <c r="H30" s="68"/>
      <c r="I30" s="68"/>
      <c r="J30" s="75">
        <v>5950</v>
      </c>
      <c r="K30" s="64">
        <v>535.5</v>
      </c>
      <c r="L30" s="64">
        <v>535.5</v>
      </c>
      <c r="M30" s="64">
        <v>0</v>
      </c>
      <c r="N30" s="64">
        <v>0</v>
      </c>
      <c r="O30" s="65">
        <v>7021</v>
      </c>
      <c r="P30" s="94"/>
      <c r="Q30" s="95" t="s">
        <v>411</v>
      </c>
      <c r="R30" s="101">
        <v>1517323.29</v>
      </c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</row>
    <row r="31" spans="1:30" x14ac:dyDescent="0.3">
      <c r="A31" s="60">
        <v>23</v>
      </c>
      <c r="B31" s="77" t="s">
        <v>412</v>
      </c>
      <c r="C31" s="62">
        <v>45826</v>
      </c>
      <c r="D31" s="63" t="s">
        <v>385</v>
      </c>
      <c r="E31" s="64" t="s">
        <v>85</v>
      </c>
      <c r="F31" s="75">
        <v>4820</v>
      </c>
      <c r="G31" s="75">
        <v>2000</v>
      </c>
      <c r="H31" s="68"/>
      <c r="I31" s="68"/>
      <c r="J31" s="75">
        <v>18000</v>
      </c>
      <c r="K31" s="64">
        <v>0</v>
      </c>
      <c r="L31" s="64">
        <v>0</v>
      </c>
      <c r="M31" s="64">
        <v>3240</v>
      </c>
      <c r="N31" s="64">
        <v>0</v>
      </c>
      <c r="O31" s="65">
        <v>21240</v>
      </c>
      <c r="P31" s="94"/>
      <c r="Q31" s="95" t="s">
        <v>312</v>
      </c>
      <c r="R31" s="102">
        <v>-572690.93000000005</v>
      </c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</row>
    <row r="32" spans="1:30" x14ac:dyDescent="0.3">
      <c r="A32" s="60">
        <v>24</v>
      </c>
      <c r="B32" s="77" t="s">
        <v>413</v>
      </c>
      <c r="C32" s="62">
        <v>45826</v>
      </c>
      <c r="D32" s="63" t="s">
        <v>385</v>
      </c>
      <c r="E32" s="64" t="s">
        <v>85</v>
      </c>
      <c r="F32" s="75">
        <v>4820</v>
      </c>
      <c r="G32" s="75">
        <v>100</v>
      </c>
      <c r="H32" s="68"/>
      <c r="I32" s="68"/>
      <c r="J32" s="75">
        <v>8800</v>
      </c>
      <c r="K32" s="64">
        <v>0</v>
      </c>
      <c r="L32" s="64">
        <v>0</v>
      </c>
      <c r="M32" s="64">
        <v>1584</v>
      </c>
      <c r="N32" s="64">
        <v>0</v>
      </c>
      <c r="O32" s="65">
        <v>10384</v>
      </c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</row>
    <row r="33" spans="1:30" x14ac:dyDescent="0.3">
      <c r="A33" s="60">
        <v>25</v>
      </c>
      <c r="B33" s="77" t="s">
        <v>414</v>
      </c>
      <c r="C33" s="62">
        <v>45826</v>
      </c>
      <c r="D33" s="63" t="s">
        <v>385</v>
      </c>
      <c r="E33" s="64" t="s">
        <v>85</v>
      </c>
      <c r="F33" s="75">
        <v>4820</v>
      </c>
      <c r="G33" s="75">
        <v>1000</v>
      </c>
      <c r="H33" s="68"/>
      <c r="I33" s="68"/>
      <c r="J33" s="75">
        <v>1800</v>
      </c>
      <c r="K33" s="64">
        <v>0</v>
      </c>
      <c r="L33" s="64">
        <v>0</v>
      </c>
      <c r="M33" s="64">
        <v>324</v>
      </c>
      <c r="N33" s="64">
        <v>0</v>
      </c>
      <c r="O33" s="65">
        <v>2124</v>
      </c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</row>
    <row r="34" spans="1:30" x14ac:dyDescent="0.3">
      <c r="A34" s="60">
        <v>26</v>
      </c>
      <c r="B34" s="61" t="s">
        <v>415</v>
      </c>
      <c r="C34" s="62">
        <v>45828</v>
      </c>
      <c r="D34" s="63" t="s">
        <v>416</v>
      </c>
      <c r="E34" s="64" t="s">
        <v>417</v>
      </c>
      <c r="F34" s="75">
        <v>6506</v>
      </c>
      <c r="G34" s="75">
        <v>20</v>
      </c>
      <c r="H34" s="68"/>
      <c r="I34" s="68"/>
      <c r="J34" s="75">
        <v>3400</v>
      </c>
      <c r="K34" s="64">
        <v>306</v>
      </c>
      <c r="L34" s="64">
        <v>306</v>
      </c>
      <c r="M34" s="64">
        <v>0</v>
      </c>
      <c r="N34" s="64">
        <v>0</v>
      </c>
      <c r="O34" s="65">
        <v>4012</v>
      </c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</row>
    <row r="35" spans="1:30" x14ac:dyDescent="0.3">
      <c r="A35" s="60">
        <v>27</v>
      </c>
      <c r="B35" s="77" t="s">
        <v>418</v>
      </c>
      <c r="C35" s="62">
        <v>45831</v>
      </c>
      <c r="D35" s="63" t="s">
        <v>48</v>
      </c>
      <c r="E35" s="64" t="s">
        <v>49</v>
      </c>
      <c r="F35" s="75">
        <v>49110000</v>
      </c>
      <c r="G35" s="75">
        <v>66810</v>
      </c>
      <c r="H35" s="68"/>
      <c r="I35" s="68"/>
      <c r="J35" s="75">
        <v>75024.600000000006</v>
      </c>
      <c r="K35" s="64">
        <v>0</v>
      </c>
      <c r="L35" s="64">
        <v>0</v>
      </c>
      <c r="M35" s="64">
        <v>13504.428</v>
      </c>
      <c r="N35" s="64">
        <v>0</v>
      </c>
      <c r="O35" s="65">
        <v>88529.03</v>
      </c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</row>
    <row r="36" spans="1:30" x14ac:dyDescent="0.3">
      <c r="A36" s="60">
        <v>28</v>
      </c>
      <c r="B36" s="61" t="s">
        <v>419</v>
      </c>
      <c r="C36" s="62">
        <v>45831</v>
      </c>
      <c r="D36" s="63" t="s">
        <v>253</v>
      </c>
      <c r="E36" s="64" t="s">
        <v>254</v>
      </c>
      <c r="F36" s="75">
        <v>4911</v>
      </c>
      <c r="G36" s="75">
        <v>20</v>
      </c>
      <c r="H36" s="68"/>
      <c r="I36" s="68"/>
      <c r="J36" s="75">
        <v>12877.6</v>
      </c>
      <c r="K36" s="64">
        <v>1158.9839999999999</v>
      </c>
      <c r="L36" s="64">
        <v>1158.9839999999999</v>
      </c>
      <c r="M36" s="64">
        <v>0</v>
      </c>
      <c r="N36" s="64">
        <v>0</v>
      </c>
      <c r="O36" s="65">
        <v>15195.57</v>
      </c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</row>
    <row r="37" spans="1:30" x14ac:dyDescent="0.3">
      <c r="A37" s="66"/>
      <c r="B37" s="67"/>
      <c r="C37" s="63"/>
      <c r="D37" s="63"/>
      <c r="E37" s="63"/>
      <c r="F37" s="75">
        <v>4911</v>
      </c>
      <c r="G37" s="75">
        <v>14508</v>
      </c>
      <c r="H37" s="68"/>
      <c r="I37" s="68"/>
      <c r="J37" s="68"/>
      <c r="K37" s="63"/>
      <c r="L37" s="63"/>
      <c r="M37" s="63"/>
      <c r="N37" s="63"/>
      <c r="O37" s="68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</row>
    <row r="38" spans="1:30" x14ac:dyDescent="0.3">
      <c r="A38" s="60">
        <v>29</v>
      </c>
      <c r="B38" s="61" t="s">
        <v>420</v>
      </c>
      <c r="C38" s="62">
        <v>45834</v>
      </c>
      <c r="D38" s="63" t="s">
        <v>421</v>
      </c>
      <c r="E38" s="64" t="s">
        <v>422</v>
      </c>
      <c r="F38" s="75">
        <v>4820</v>
      </c>
      <c r="G38" s="75">
        <v>4</v>
      </c>
      <c r="H38" s="68"/>
      <c r="I38" s="68"/>
      <c r="J38" s="75">
        <v>11800</v>
      </c>
      <c r="K38" s="64">
        <v>708</v>
      </c>
      <c r="L38" s="64">
        <v>708</v>
      </c>
      <c r="M38" s="64">
        <v>0</v>
      </c>
      <c r="N38" s="64">
        <v>0</v>
      </c>
      <c r="O38" s="65">
        <v>13216</v>
      </c>
      <c r="P38" s="74"/>
      <c r="Q38" s="92"/>
      <c r="R38" s="92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</row>
    <row r="39" spans="1:30" x14ac:dyDescent="0.3">
      <c r="A39" s="60">
        <v>30</v>
      </c>
      <c r="B39" s="77" t="s">
        <v>423</v>
      </c>
      <c r="C39" s="62">
        <v>45833</v>
      </c>
      <c r="D39" s="63" t="s">
        <v>162</v>
      </c>
      <c r="E39" s="64" t="s">
        <v>235</v>
      </c>
      <c r="F39" s="75">
        <v>4819</v>
      </c>
      <c r="G39" s="75">
        <v>10</v>
      </c>
      <c r="H39" s="68"/>
      <c r="I39" s="68"/>
      <c r="J39" s="75">
        <v>23754</v>
      </c>
      <c r="K39" s="64">
        <v>0</v>
      </c>
      <c r="L39" s="64">
        <v>0</v>
      </c>
      <c r="M39" s="64">
        <v>4275.72</v>
      </c>
      <c r="N39" s="64">
        <v>0</v>
      </c>
      <c r="O39" s="65">
        <v>28029.72</v>
      </c>
      <c r="P39" s="94"/>
      <c r="Q39" s="95" t="s">
        <v>310</v>
      </c>
      <c r="R39" s="96">
        <v>143496.46</v>
      </c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</row>
    <row r="40" spans="1:30" x14ac:dyDescent="0.3">
      <c r="A40" s="66"/>
      <c r="B40" s="67"/>
      <c r="C40" s="63"/>
      <c r="D40" s="63"/>
      <c r="E40" s="63"/>
      <c r="F40" s="75">
        <v>4911</v>
      </c>
      <c r="G40" s="75">
        <v>6</v>
      </c>
      <c r="H40" s="68"/>
      <c r="I40" s="68"/>
      <c r="J40" s="68"/>
      <c r="K40" s="63"/>
      <c r="L40" s="63"/>
      <c r="M40" s="63"/>
      <c r="N40" s="63"/>
      <c r="O40" s="68"/>
      <c r="P40" s="94"/>
      <c r="Q40" s="95"/>
      <c r="R40" s="95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</row>
    <row r="41" spans="1:30" x14ac:dyDescent="0.3">
      <c r="A41" s="60">
        <v>31</v>
      </c>
      <c r="B41" s="77" t="s">
        <v>424</v>
      </c>
      <c r="C41" s="62">
        <v>45834</v>
      </c>
      <c r="D41" s="63" t="s">
        <v>391</v>
      </c>
      <c r="E41" s="64" t="s">
        <v>58</v>
      </c>
      <c r="F41" s="75">
        <v>4820</v>
      </c>
      <c r="G41" s="75">
        <v>70</v>
      </c>
      <c r="H41" s="68"/>
      <c r="I41" s="68"/>
      <c r="J41" s="75">
        <v>9630</v>
      </c>
      <c r="K41" s="64">
        <v>866.7</v>
      </c>
      <c r="L41" s="64">
        <v>866.7</v>
      </c>
      <c r="M41" s="64">
        <v>0</v>
      </c>
      <c r="N41" s="64">
        <v>0</v>
      </c>
      <c r="O41" s="65">
        <v>11363.4</v>
      </c>
      <c r="P41" s="94"/>
      <c r="Q41" s="95"/>
      <c r="R41" s="95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</row>
    <row r="42" spans="1:30" x14ac:dyDescent="0.3">
      <c r="A42" s="66"/>
      <c r="B42" s="67"/>
      <c r="C42" s="63"/>
      <c r="D42" s="63"/>
      <c r="E42" s="63"/>
      <c r="F42" s="75">
        <v>4911</v>
      </c>
      <c r="G42" s="75">
        <v>50</v>
      </c>
      <c r="H42" s="68"/>
      <c r="I42" s="68"/>
      <c r="J42" s="68"/>
      <c r="K42" s="63"/>
      <c r="L42" s="63"/>
      <c r="M42" s="63"/>
      <c r="N42" s="63"/>
      <c r="O42" s="68"/>
      <c r="P42" s="94"/>
      <c r="Q42" s="95"/>
      <c r="R42" s="95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</row>
    <row r="43" spans="1:30" x14ac:dyDescent="0.3">
      <c r="A43" s="60">
        <v>32</v>
      </c>
      <c r="B43" s="77" t="s">
        <v>425</v>
      </c>
      <c r="C43" s="62">
        <v>45834</v>
      </c>
      <c r="D43" s="63" t="s">
        <v>391</v>
      </c>
      <c r="E43" s="64" t="s">
        <v>58</v>
      </c>
      <c r="F43" s="75">
        <v>4911</v>
      </c>
      <c r="G43" s="75">
        <v>172</v>
      </c>
      <c r="H43" s="68"/>
      <c r="I43" s="68"/>
      <c r="J43" s="75">
        <v>12984</v>
      </c>
      <c r="K43" s="64">
        <v>1168.56</v>
      </c>
      <c r="L43" s="64">
        <v>1168.56</v>
      </c>
      <c r="M43" s="64">
        <v>0</v>
      </c>
      <c r="N43" s="64">
        <v>0</v>
      </c>
      <c r="O43" s="65">
        <v>15321.12</v>
      </c>
      <c r="P43" s="94"/>
      <c r="Q43" s="95"/>
      <c r="R43" s="95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</row>
    <row r="44" spans="1:30" x14ac:dyDescent="0.3">
      <c r="A44" s="66"/>
      <c r="B44" s="67"/>
      <c r="C44" s="63"/>
      <c r="D44" s="63"/>
      <c r="E44" s="63"/>
      <c r="F44" s="75">
        <v>3919</v>
      </c>
      <c r="G44" s="75">
        <v>15</v>
      </c>
      <c r="H44" s="68"/>
      <c r="I44" s="68"/>
      <c r="J44" s="68"/>
      <c r="K44" s="63"/>
      <c r="L44" s="63"/>
      <c r="M44" s="63"/>
      <c r="N44" s="63"/>
      <c r="O44" s="68"/>
      <c r="P44" s="94"/>
      <c r="Q44" s="95"/>
      <c r="R44" s="95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</row>
    <row r="45" spans="1:30" x14ac:dyDescent="0.3">
      <c r="A45" s="60">
        <v>33</v>
      </c>
      <c r="B45" s="77" t="s">
        <v>426</v>
      </c>
      <c r="C45" s="62">
        <v>45834</v>
      </c>
      <c r="D45" s="63" t="s">
        <v>385</v>
      </c>
      <c r="E45" s="64" t="s">
        <v>85</v>
      </c>
      <c r="F45" s="75">
        <v>4911</v>
      </c>
      <c r="G45" s="75">
        <v>16</v>
      </c>
      <c r="H45" s="68"/>
      <c r="I45" s="68"/>
      <c r="J45" s="75">
        <v>3388.8</v>
      </c>
      <c r="K45" s="64">
        <v>0</v>
      </c>
      <c r="L45" s="64">
        <v>0</v>
      </c>
      <c r="M45" s="64">
        <v>609.98400000000004</v>
      </c>
      <c r="N45" s="64">
        <v>0</v>
      </c>
      <c r="O45" s="65">
        <v>3998.78</v>
      </c>
      <c r="P45" s="94"/>
      <c r="Q45" s="95"/>
      <c r="R45" s="95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</row>
    <row r="46" spans="1:30" x14ac:dyDescent="0.3">
      <c r="A46" s="66"/>
      <c r="B46" s="67"/>
      <c r="C46" s="63"/>
      <c r="D46" s="63"/>
      <c r="E46" s="63"/>
      <c r="F46" s="75">
        <v>3919</v>
      </c>
      <c r="G46" s="75">
        <v>1728</v>
      </c>
      <c r="H46" s="68"/>
      <c r="I46" s="68"/>
      <c r="J46" s="68"/>
      <c r="K46" s="63"/>
      <c r="L46" s="63"/>
      <c r="M46" s="63"/>
      <c r="N46" s="63"/>
      <c r="O46" s="68"/>
      <c r="P46" s="94"/>
      <c r="Q46" s="95"/>
      <c r="R46" s="95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</row>
    <row r="47" spans="1:30" x14ac:dyDescent="0.3">
      <c r="A47" s="60">
        <v>34</v>
      </c>
      <c r="B47" s="77" t="s">
        <v>427</v>
      </c>
      <c r="C47" s="62">
        <v>45834</v>
      </c>
      <c r="D47" s="63" t="s">
        <v>385</v>
      </c>
      <c r="E47" s="64" t="s">
        <v>85</v>
      </c>
      <c r="F47" s="75">
        <v>3919</v>
      </c>
      <c r="G47" s="75">
        <v>52000</v>
      </c>
      <c r="H47" s="68"/>
      <c r="I47" s="68"/>
      <c r="J47" s="75">
        <v>5200</v>
      </c>
      <c r="K47" s="64">
        <v>0</v>
      </c>
      <c r="L47" s="64">
        <v>0</v>
      </c>
      <c r="M47" s="64">
        <v>936</v>
      </c>
      <c r="N47" s="64">
        <v>0</v>
      </c>
      <c r="O47" s="65">
        <v>6136</v>
      </c>
      <c r="P47" s="94"/>
      <c r="Q47" s="95"/>
      <c r="R47" s="95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</row>
    <row r="48" spans="1:30" x14ac:dyDescent="0.3">
      <c r="A48" s="60">
        <v>35</v>
      </c>
      <c r="B48" s="61" t="s">
        <v>428</v>
      </c>
      <c r="C48" s="62">
        <v>45834</v>
      </c>
      <c r="D48" s="63" t="s">
        <v>51</v>
      </c>
      <c r="E48" s="64" t="s">
        <v>52</v>
      </c>
      <c r="F48" s="75">
        <v>7219</v>
      </c>
      <c r="G48" s="75">
        <v>25</v>
      </c>
      <c r="H48" s="68"/>
      <c r="I48" s="68"/>
      <c r="J48" s="75">
        <v>26250</v>
      </c>
      <c r="K48" s="64">
        <v>0</v>
      </c>
      <c r="L48" s="64">
        <v>0</v>
      </c>
      <c r="M48" s="64">
        <v>4725</v>
      </c>
      <c r="N48" s="64">
        <v>0</v>
      </c>
      <c r="O48" s="65">
        <v>30975</v>
      </c>
      <c r="P48" s="94"/>
      <c r="Q48" s="95"/>
      <c r="R48" s="95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</row>
    <row r="49" spans="1:30" x14ac:dyDescent="0.3">
      <c r="A49" s="60">
        <v>36</v>
      </c>
      <c r="B49" s="91" t="s">
        <v>429</v>
      </c>
      <c r="C49" s="62">
        <v>45834</v>
      </c>
      <c r="D49" s="63" t="s">
        <v>385</v>
      </c>
      <c r="E49" s="64" t="s">
        <v>85</v>
      </c>
      <c r="F49" s="75">
        <v>4911</v>
      </c>
      <c r="G49" s="75">
        <v>16</v>
      </c>
      <c r="H49" s="68"/>
      <c r="I49" s="68"/>
      <c r="J49" s="75">
        <v>1920</v>
      </c>
      <c r="K49" s="64">
        <v>0</v>
      </c>
      <c r="L49" s="64">
        <v>0</v>
      </c>
      <c r="M49" s="64">
        <v>345.6</v>
      </c>
      <c r="N49" s="64">
        <v>0</v>
      </c>
      <c r="O49" s="65">
        <v>2265.6</v>
      </c>
      <c r="P49" s="94"/>
      <c r="Q49" s="95" t="s">
        <v>311</v>
      </c>
      <c r="R49" s="97">
        <v>243883.56719999999</v>
      </c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</row>
    <row r="50" spans="1:30" x14ac:dyDescent="0.3">
      <c r="A50" s="60">
        <v>37</v>
      </c>
      <c r="B50" s="61" t="s">
        <v>430</v>
      </c>
      <c r="C50" s="62">
        <v>45834</v>
      </c>
      <c r="D50" s="63" t="s">
        <v>431</v>
      </c>
      <c r="E50" s="63" t="s">
        <v>432</v>
      </c>
      <c r="F50" s="75">
        <v>4820</v>
      </c>
      <c r="G50" s="75">
        <v>700</v>
      </c>
      <c r="H50" s="68"/>
      <c r="I50" s="68"/>
      <c r="J50" s="75">
        <v>7400</v>
      </c>
      <c r="K50" s="64">
        <v>666</v>
      </c>
      <c r="L50" s="64">
        <v>666</v>
      </c>
      <c r="M50" s="64">
        <v>0</v>
      </c>
      <c r="N50" s="64">
        <v>0</v>
      </c>
      <c r="O50" s="65">
        <v>8732</v>
      </c>
      <c r="P50" s="74"/>
      <c r="Q50" s="74" t="s">
        <v>312</v>
      </c>
      <c r="R50" s="103">
        <v>-100387.11</v>
      </c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</row>
    <row r="51" spans="1:30" x14ac:dyDescent="0.3">
      <c r="A51" s="60">
        <v>38</v>
      </c>
      <c r="B51" s="61" t="s">
        <v>433</v>
      </c>
      <c r="C51" s="62">
        <v>45836</v>
      </c>
      <c r="D51" s="63" t="s">
        <v>434</v>
      </c>
      <c r="E51" s="64" t="s">
        <v>330</v>
      </c>
      <c r="F51" s="75">
        <v>3923</v>
      </c>
      <c r="G51" s="75">
        <v>384</v>
      </c>
      <c r="H51" s="68"/>
      <c r="I51" s="68"/>
      <c r="J51" s="75">
        <v>211.2</v>
      </c>
      <c r="K51" s="64">
        <v>19.007999999999999</v>
      </c>
      <c r="L51" s="64">
        <v>19.007999999999999</v>
      </c>
      <c r="M51" s="64">
        <v>0</v>
      </c>
      <c r="N51" s="64">
        <v>0</v>
      </c>
      <c r="O51" s="75">
        <v>249.22</v>
      </c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</row>
    <row r="52" spans="1:30" x14ac:dyDescent="0.3">
      <c r="A52" s="60">
        <v>39</v>
      </c>
      <c r="B52" s="77" t="s">
        <v>435</v>
      </c>
      <c r="C52" s="62">
        <v>45838</v>
      </c>
      <c r="D52" s="63" t="s">
        <v>391</v>
      </c>
      <c r="E52" s="64" t="s">
        <v>58</v>
      </c>
      <c r="F52" s="75">
        <v>4911</v>
      </c>
      <c r="G52" s="75">
        <v>1200</v>
      </c>
      <c r="H52" s="68"/>
      <c r="I52" s="68"/>
      <c r="J52" s="75">
        <v>88800</v>
      </c>
      <c r="K52" s="64">
        <v>7992</v>
      </c>
      <c r="L52" s="64">
        <v>7992</v>
      </c>
      <c r="M52" s="64">
        <v>0</v>
      </c>
      <c r="N52" s="64">
        <v>0</v>
      </c>
      <c r="O52" s="65">
        <v>104784</v>
      </c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</row>
    <row r="53" spans="1:30" x14ac:dyDescent="0.3">
      <c r="A53" s="60">
        <v>40</v>
      </c>
      <c r="B53" s="61" t="s">
        <v>436</v>
      </c>
      <c r="C53" s="62">
        <v>45838</v>
      </c>
      <c r="D53" s="63" t="s">
        <v>391</v>
      </c>
      <c r="E53" s="64" t="s">
        <v>58</v>
      </c>
      <c r="F53" s="75">
        <v>4820</v>
      </c>
      <c r="G53" s="75">
        <v>120</v>
      </c>
      <c r="H53" s="68"/>
      <c r="I53" s="68"/>
      <c r="J53" s="75">
        <v>11580</v>
      </c>
      <c r="K53" s="64">
        <v>1042.2</v>
      </c>
      <c r="L53" s="64">
        <v>1042.2</v>
      </c>
      <c r="M53" s="64">
        <v>0</v>
      </c>
      <c r="N53" s="64">
        <v>0</v>
      </c>
      <c r="O53" s="65">
        <v>13664.4</v>
      </c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</row>
    <row r="54" spans="1:30" x14ac:dyDescent="0.3">
      <c r="A54" s="60">
        <v>41</v>
      </c>
      <c r="B54" s="61" t="s">
        <v>437</v>
      </c>
      <c r="C54" s="62">
        <v>45838</v>
      </c>
      <c r="D54" s="63" t="s">
        <v>438</v>
      </c>
      <c r="E54" s="63" t="s">
        <v>43</v>
      </c>
      <c r="F54" s="75">
        <v>4820</v>
      </c>
      <c r="G54" s="75">
        <v>32900</v>
      </c>
      <c r="H54" s="68"/>
      <c r="I54" s="68"/>
      <c r="J54" s="75">
        <v>2585</v>
      </c>
      <c r="K54" s="64">
        <v>232.65</v>
      </c>
      <c r="L54" s="64">
        <v>232.65</v>
      </c>
      <c r="M54" s="64">
        <v>0</v>
      </c>
      <c r="N54" s="64">
        <v>0</v>
      </c>
      <c r="O54" s="65">
        <v>3050.3</v>
      </c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</row>
    <row r="55" spans="1:30" x14ac:dyDescent="0.3">
      <c r="A55" s="66"/>
      <c r="B55" s="67"/>
      <c r="C55" s="63"/>
      <c r="D55" s="63"/>
      <c r="E55" s="63"/>
      <c r="F55" s="75">
        <v>4820</v>
      </c>
      <c r="G55" s="75">
        <v>40</v>
      </c>
      <c r="H55" s="68"/>
      <c r="I55" s="68"/>
      <c r="J55" s="68"/>
      <c r="K55" s="63"/>
      <c r="L55" s="63"/>
      <c r="M55" s="63"/>
      <c r="N55" s="63"/>
      <c r="O55" s="68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</row>
    <row r="56" spans="1:30" x14ac:dyDescent="0.3">
      <c r="A56" s="60">
        <v>42</v>
      </c>
      <c r="B56" s="61" t="s">
        <v>439</v>
      </c>
      <c r="C56" s="62">
        <v>45838</v>
      </c>
      <c r="D56" s="63" t="s">
        <v>438</v>
      </c>
      <c r="E56" s="63" t="s">
        <v>43</v>
      </c>
      <c r="F56" s="75">
        <v>4911</v>
      </c>
      <c r="G56" s="75">
        <v>10</v>
      </c>
      <c r="H56" s="68"/>
      <c r="I56" s="68"/>
      <c r="J56" s="75">
        <v>6790</v>
      </c>
      <c r="K56" s="64">
        <v>611.1</v>
      </c>
      <c r="L56" s="64">
        <v>611.1</v>
      </c>
      <c r="M56" s="64">
        <v>0</v>
      </c>
      <c r="N56" s="64">
        <v>0</v>
      </c>
      <c r="O56" s="65">
        <v>8012.2</v>
      </c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</row>
    <row r="57" spans="1:30" x14ac:dyDescent="0.3">
      <c r="A57" s="66"/>
      <c r="B57" s="67"/>
      <c r="C57" s="63"/>
      <c r="D57" s="63"/>
      <c r="E57" s="63"/>
      <c r="F57" s="75">
        <v>7319</v>
      </c>
      <c r="G57" s="75">
        <v>200</v>
      </c>
      <c r="H57" s="68"/>
      <c r="I57" s="68"/>
      <c r="J57" s="68"/>
      <c r="K57" s="63"/>
      <c r="L57" s="63"/>
      <c r="M57" s="63"/>
      <c r="N57" s="63"/>
      <c r="O57" s="68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</row>
    <row r="58" spans="1:30" x14ac:dyDescent="0.3">
      <c r="A58" s="60">
        <v>43</v>
      </c>
      <c r="B58" s="77" t="s">
        <v>440</v>
      </c>
      <c r="C58" s="62">
        <v>45838</v>
      </c>
      <c r="D58" s="63" t="s">
        <v>441</v>
      </c>
      <c r="E58" s="64" t="s">
        <v>442</v>
      </c>
      <c r="F58" s="75">
        <v>4911</v>
      </c>
      <c r="G58" s="75">
        <v>2</v>
      </c>
      <c r="H58" s="68"/>
      <c r="I58" s="68"/>
      <c r="J58" s="75">
        <v>35668</v>
      </c>
      <c r="K58" s="64">
        <v>0</v>
      </c>
      <c r="L58" s="64">
        <v>0</v>
      </c>
      <c r="M58" s="64">
        <v>6420.24</v>
      </c>
      <c r="N58" s="64">
        <v>0</v>
      </c>
      <c r="O58" s="65">
        <v>42088.24</v>
      </c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</row>
    <row r="59" spans="1:30" x14ac:dyDescent="0.3">
      <c r="A59" s="66"/>
      <c r="B59" s="67"/>
      <c r="C59" s="63"/>
      <c r="D59" s="63"/>
      <c r="E59" s="63"/>
      <c r="F59" s="75">
        <v>4819</v>
      </c>
      <c r="G59" s="75">
        <v>31</v>
      </c>
      <c r="H59" s="68"/>
      <c r="I59" s="68"/>
      <c r="J59" s="68"/>
      <c r="K59" s="63"/>
      <c r="L59" s="63"/>
      <c r="M59" s="63"/>
      <c r="N59" s="63"/>
      <c r="O59" s="68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</row>
    <row r="60" spans="1:30" x14ac:dyDescent="0.3">
      <c r="A60" s="60">
        <v>44</v>
      </c>
      <c r="B60" s="61" t="s">
        <v>443</v>
      </c>
      <c r="C60" s="62">
        <v>45838</v>
      </c>
      <c r="D60" s="63" t="s">
        <v>48</v>
      </c>
      <c r="E60" s="64" t="s">
        <v>49</v>
      </c>
      <c r="F60" s="75">
        <v>49110000</v>
      </c>
      <c r="G60" s="75">
        <v>33980</v>
      </c>
      <c r="H60" s="68"/>
      <c r="I60" s="68"/>
      <c r="J60" s="75">
        <v>67198.8</v>
      </c>
      <c r="K60" s="64">
        <v>0</v>
      </c>
      <c r="L60" s="64">
        <v>0</v>
      </c>
      <c r="M60" s="64">
        <v>12095.784</v>
      </c>
      <c r="N60" s="64">
        <v>0</v>
      </c>
      <c r="O60" s="65">
        <v>79294.58</v>
      </c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</row>
    <row r="61" spans="1:30" x14ac:dyDescent="0.3">
      <c r="A61" s="66"/>
      <c r="B61" s="67"/>
      <c r="C61" s="63"/>
      <c r="D61" s="63"/>
      <c r="E61" s="63"/>
      <c r="F61" s="68"/>
      <c r="G61" s="68"/>
      <c r="H61" s="68"/>
      <c r="I61" s="68"/>
      <c r="J61" s="68"/>
      <c r="K61" s="63"/>
      <c r="L61" s="63"/>
      <c r="M61" s="63"/>
      <c r="N61" s="63"/>
      <c r="O61" s="68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</row>
    <row r="62" spans="1:30" x14ac:dyDescent="0.3">
      <c r="A62" s="66"/>
      <c r="B62" s="67"/>
      <c r="C62" s="63"/>
      <c r="D62" s="63"/>
      <c r="E62" s="63"/>
      <c r="F62" s="68"/>
      <c r="G62" s="68"/>
      <c r="H62" s="68"/>
      <c r="I62" s="68"/>
      <c r="J62" s="68"/>
      <c r="K62" s="63"/>
      <c r="L62" s="63"/>
      <c r="M62" s="63"/>
      <c r="N62" s="63"/>
      <c r="O62" s="68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</row>
    <row r="63" spans="1:30" x14ac:dyDescent="0.3">
      <c r="A63" s="66"/>
      <c r="B63" s="67"/>
      <c r="C63" s="63"/>
      <c r="D63" s="63"/>
      <c r="E63" s="63"/>
      <c r="F63" s="68"/>
      <c r="G63" s="68"/>
      <c r="H63" s="68"/>
      <c r="I63" s="68"/>
      <c r="J63" s="68"/>
      <c r="K63" s="63"/>
      <c r="L63" s="63"/>
      <c r="M63" s="63"/>
      <c r="N63" s="63"/>
      <c r="O63" s="68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</row>
    <row r="64" spans="1:30" x14ac:dyDescent="0.3">
      <c r="A64" s="158" t="s">
        <v>172</v>
      </c>
      <c r="B64" s="159"/>
      <c r="C64" s="159"/>
      <c r="D64" s="159"/>
      <c r="E64" s="160"/>
      <c r="F64" s="67"/>
      <c r="G64" s="67"/>
      <c r="H64" s="67"/>
      <c r="I64" s="67"/>
      <c r="J64" s="80">
        <v>801135.9</v>
      </c>
      <c r="K64" s="81">
        <v>27497.85</v>
      </c>
      <c r="L64" s="81">
        <v>27497.85</v>
      </c>
      <c r="M64" s="81">
        <v>88500.76</v>
      </c>
      <c r="N64" s="82">
        <v>0</v>
      </c>
      <c r="O64" s="81">
        <v>944632.36</v>
      </c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</row>
    <row r="65" spans="1:30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</row>
    <row r="66" spans="1:30" x14ac:dyDescent="0.3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</row>
    <row r="67" spans="1:30" x14ac:dyDescent="0.3">
      <c r="A67" s="161" t="s">
        <v>173</v>
      </c>
      <c r="B67" s="162"/>
      <c r="C67" s="163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5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</row>
    <row r="68" spans="1:30" x14ac:dyDescent="0.3">
      <c r="A68" s="55" t="s">
        <v>174</v>
      </c>
      <c r="B68" s="56" t="s">
        <v>26</v>
      </c>
      <c r="C68" s="56" t="s">
        <v>27</v>
      </c>
      <c r="D68" s="56" t="s">
        <v>28</v>
      </c>
      <c r="E68" s="56" t="s">
        <v>29</v>
      </c>
      <c r="F68" s="56" t="s">
        <v>110</v>
      </c>
      <c r="G68" s="58"/>
      <c r="H68" s="57" t="s">
        <v>127</v>
      </c>
      <c r="I68" s="58"/>
      <c r="J68" s="57" t="s">
        <v>175</v>
      </c>
      <c r="K68" s="57" t="s">
        <v>36</v>
      </c>
      <c r="L68" s="57" t="s">
        <v>37</v>
      </c>
      <c r="M68" s="57" t="s">
        <v>38</v>
      </c>
      <c r="N68" s="59" t="s">
        <v>176</v>
      </c>
      <c r="O68" s="57" t="s">
        <v>177</v>
      </c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</row>
    <row r="69" spans="1:30" x14ac:dyDescent="0.3">
      <c r="A69" s="60">
        <v>1</v>
      </c>
      <c r="B69" s="61" t="s">
        <v>444</v>
      </c>
      <c r="C69" s="62">
        <v>45810</v>
      </c>
      <c r="D69" s="63" t="s">
        <v>184</v>
      </c>
      <c r="E69" s="64" t="s">
        <v>185</v>
      </c>
      <c r="F69" s="64">
        <v>48025620</v>
      </c>
      <c r="G69" s="63"/>
      <c r="H69" s="63"/>
      <c r="I69" s="63"/>
      <c r="J69" s="104">
        <v>2175</v>
      </c>
      <c r="K69" s="64">
        <v>0</v>
      </c>
      <c r="L69" s="64">
        <v>0</v>
      </c>
      <c r="M69" s="64">
        <v>261</v>
      </c>
      <c r="N69" s="64">
        <v>0</v>
      </c>
      <c r="O69" s="65">
        <v>2436</v>
      </c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</row>
    <row r="70" spans="1:30" x14ac:dyDescent="0.3">
      <c r="A70" s="60">
        <v>2</v>
      </c>
      <c r="B70" s="61" t="s">
        <v>445</v>
      </c>
      <c r="C70" s="62">
        <v>45812</v>
      </c>
      <c r="D70" s="63" t="s">
        <v>184</v>
      </c>
      <c r="E70" s="64" t="s">
        <v>185</v>
      </c>
      <c r="F70" s="64">
        <v>48025620</v>
      </c>
      <c r="G70" s="63"/>
      <c r="H70" s="63"/>
      <c r="I70" s="63"/>
      <c r="J70" s="104">
        <v>2139.9299999999998</v>
      </c>
      <c r="K70" s="64">
        <v>0</v>
      </c>
      <c r="L70" s="64">
        <v>0</v>
      </c>
      <c r="M70" s="64">
        <v>256.79160000000002</v>
      </c>
      <c r="N70" s="64">
        <v>0</v>
      </c>
      <c r="O70" s="65">
        <v>2396.7199999999998</v>
      </c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</row>
    <row r="71" spans="1:30" x14ac:dyDescent="0.3">
      <c r="A71" s="60">
        <v>3</v>
      </c>
      <c r="B71" s="61">
        <v>2024</v>
      </c>
      <c r="C71" s="62">
        <v>45812</v>
      </c>
      <c r="D71" s="63" t="s">
        <v>113</v>
      </c>
      <c r="E71" s="64" t="s">
        <v>114</v>
      </c>
      <c r="F71" s="64">
        <v>39219099</v>
      </c>
      <c r="G71" s="63"/>
      <c r="H71" s="63"/>
      <c r="I71" s="63"/>
      <c r="J71" s="104">
        <v>75650</v>
      </c>
      <c r="K71" s="64">
        <v>6808.5</v>
      </c>
      <c r="L71" s="64">
        <v>6808.5</v>
      </c>
      <c r="M71" s="64">
        <v>0</v>
      </c>
      <c r="N71" s="64">
        <v>0</v>
      </c>
      <c r="O71" s="65">
        <v>89267</v>
      </c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</row>
    <row r="72" spans="1:30" x14ac:dyDescent="0.3">
      <c r="A72" s="66"/>
      <c r="B72" s="67"/>
      <c r="C72" s="63"/>
      <c r="D72" s="63"/>
      <c r="E72" s="63"/>
      <c r="F72" s="64">
        <v>44111200</v>
      </c>
      <c r="G72" s="63"/>
      <c r="H72" s="63"/>
      <c r="I72" s="63"/>
      <c r="J72" s="63"/>
      <c r="K72" s="63"/>
      <c r="L72" s="63"/>
      <c r="M72" s="63"/>
      <c r="N72" s="63"/>
      <c r="O72" s="68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</row>
    <row r="73" spans="1:30" x14ac:dyDescent="0.3">
      <c r="A73" s="60">
        <v>4</v>
      </c>
      <c r="B73" s="61">
        <v>559</v>
      </c>
      <c r="C73" s="62">
        <v>45812</v>
      </c>
      <c r="D73" s="63" t="s">
        <v>111</v>
      </c>
      <c r="E73" s="64" t="s">
        <v>112</v>
      </c>
      <c r="F73" s="64">
        <v>40021100</v>
      </c>
      <c r="G73" s="63"/>
      <c r="H73" s="63"/>
      <c r="I73" s="63"/>
      <c r="J73" s="104">
        <v>3200</v>
      </c>
      <c r="K73" s="64">
        <v>0</v>
      </c>
      <c r="L73" s="64">
        <v>0</v>
      </c>
      <c r="M73" s="64">
        <v>576</v>
      </c>
      <c r="N73" s="64">
        <v>0</v>
      </c>
      <c r="O73" s="65">
        <v>3776</v>
      </c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</row>
    <row r="74" spans="1:30" x14ac:dyDescent="0.3">
      <c r="A74" s="60">
        <v>5</v>
      </c>
      <c r="B74" s="61">
        <v>1142</v>
      </c>
      <c r="C74" s="62">
        <v>45814</v>
      </c>
      <c r="D74" s="63" t="s">
        <v>446</v>
      </c>
      <c r="E74" s="64" t="s">
        <v>447</v>
      </c>
      <c r="F74" s="64">
        <v>40021100</v>
      </c>
      <c r="G74" s="63"/>
      <c r="H74" s="63"/>
      <c r="I74" s="63"/>
      <c r="J74" s="104">
        <v>3729</v>
      </c>
      <c r="K74" s="64">
        <v>335.61</v>
      </c>
      <c r="L74" s="64">
        <v>335.61</v>
      </c>
      <c r="M74" s="64">
        <v>0</v>
      </c>
      <c r="N74" s="64">
        <v>0</v>
      </c>
      <c r="O74" s="65">
        <v>4400.22</v>
      </c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</row>
    <row r="75" spans="1:30" x14ac:dyDescent="0.3">
      <c r="A75" s="60">
        <v>6</v>
      </c>
      <c r="B75" s="61">
        <v>2030</v>
      </c>
      <c r="C75" s="62">
        <v>45816</v>
      </c>
      <c r="D75" s="63" t="s">
        <v>113</v>
      </c>
      <c r="E75" s="64" t="s">
        <v>114</v>
      </c>
      <c r="F75" s="64">
        <v>44111200</v>
      </c>
      <c r="G75" s="63"/>
      <c r="H75" s="63"/>
      <c r="I75" s="63"/>
      <c r="J75" s="104">
        <v>38850</v>
      </c>
      <c r="K75" s="64">
        <v>3496.5</v>
      </c>
      <c r="L75" s="64">
        <v>3496.5</v>
      </c>
      <c r="M75" s="64">
        <v>0</v>
      </c>
      <c r="N75" s="64">
        <v>0</v>
      </c>
      <c r="O75" s="65">
        <v>45843</v>
      </c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</row>
    <row r="76" spans="1:30" x14ac:dyDescent="0.3">
      <c r="A76" s="60">
        <v>7</v>
      </c>
      <c r="B76" s="61">
        <v>1188</v>
      </c>
      <c r="C76" s="62">
        <v>45817</v>
      </c>
      <c r="D76" s="63" t="s">
        <v>446</v>
      </c>
      <c r="E76" s="64" t="s">
        <v>447</v>
      </c>
      <c r="F76" s="64">
        <v>44111200</v>
      </c>
      <c r="G76" s="63"/>
      <c r="H76" s="63"/>
      <c r="I76" s="63"/>
      <c r="J76" s="104">
        <v>3729</v>
      </c>
      <c r="K76" s="64">
        <v>335.61</v>
      </c>
      <c r="L76" s="64">
        <v>335.61</v>
      </c>
      <c r="M76" s="64">
        <v>0</v>
      </c>
      <c r="N76" s="64">
        <v>0</v>
      </c>
      <c r="O76" s="65">
        <v>4400.22</v>
      </c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</row>
    <row r="77" spans="1:30" x14ac:dyDescent="0.3">
      <c r="A77" s="60">
        <v>8</v>
      </c>
      <c r="B77" s="61" t="s">
        <v>448</v>
      </c>
      <c r="C77" s="62">
        <v>45818</v>
      </c>
      <c r="D77" s="63" t="s">
        <v>449</v>
      </c>
      <c r="E77" s="64" t="s">
        <v>211</v>
      </c>
      <c r="F77" s="64">
        <v>84439959</v>
      </c>
      <c r="G77" s="63"/>
      <c r="H77" s="63"/>
      <c r="I77" s="63"/>
      <c r="J77" s="104">
        <v>11000</v>
      </c>
      <c r="K77" s="64">
        <v>990</v>
      </c>
      <c r="L77" s="64">
        <v>990</v>
      </c>
      <c r="M77" s="64">
        <v>0</v>
      </c>
      <c r="N77" s="64">
        <v>0</v>
      </c>
      <c r="O77" s="65">
        <v>12980</v>
      </c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</row>
    <row r="78" spans="1:30" x14ac:dyDescent="0.3">
      <c r="A78" s="60">
        <v>9</v>
      </c>
      <c r="B78" s="61" t="s">
        <v>450</v>
      </c>
      <c r="C78" s="62">
        <v>45819</v>
      </c>
      <c r="D78" s="63" t="s">
        <v>451</v>
      </c>
      <c r="E78" s="64" t="s">
        <v>203</v>
      </c>
      <c r="F78" s="64">
        <v>96100000</v>
      </c>
      <c r="G78" s="63"/>
      <c r="H78" s="63"/>
      <c r="I78" s="63"/>
      <c r="J78" s="104">
        <v>17420</v>
      </c>
      <c r="K78" s="64">
        <v>0</v>
      </c>
      <c r="L78" s="64">
        <v>0</v>
      </c>
      <c r="M78" s="64">
        <v>3135.6</v>
      </c>
      <c r="N78" s="64">
        <v>0</v>
      </c>
      <c r="O78" s="65">
        <v>20555.599999999999</v>
      </c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</row>
    <row r="79" spans="1:30" x14ac:dyDescent="0.3">
      <c r="A79" s="60">
        <v>10</v>
      </c>
      <c r="B79" s="61" t="s">
        <v>452</v>
      </c>
      <c r="C79" s="62">
        <v>45820</v>
      </c>
      <c r="D79" s="63" t="s">
        <v>453</v>
      </c>
      <c r="E79" s="64" t="s">
        <v>183</v>
      </c>
      <c r="F79" s="64">
        <v>48203000</v>
      </c>
      <c r="G79" s="63"/>
      <c r="H79" s="63"/>
      <c r="I79" s="63"/>
      <c r="J79" s="104">
        <v>9000</v>
      </c>
      <c r="K79" s="64">
        <v>0</v>
      </c>
      <c r="L79" s="64">
        <v>0</v>
      </c>
      <c r="M79" s="64">
        <v>1620</v>
      </c>
      <c r="N79" s="64">
        <v>0</v>
      </c>
      <c r="O79" s="65">
        <v>10620</v>
      </c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</row>
    <row r="80" spans="1:30" x14ac:dyDescent="0.3">
      <c r="A80" s="60">
        <v>11</v>
      </c>
      <c r="B80" s="61" t="s">
        <v>454</v>
      </c>
      <c r="C80" s="62">
        <v>45822</v>
      </c>
      <c r="D80" s="63" t="s">
        <v>309</v>
      </c>
      <c r="E80" s="64" t="s">
        <v>295</v>
      </c>
      <c r="F80" s="64">
        <v>84439959</v>
      </c>
      <c r="G80" s="63"/>
      <c r="H80" s="63"/>
      <c r="I80" s="63"/>
      <c r="J80" s="104">
        <v>5350</v>
      </c>
      <c r="K80" s="64">
        <v>0</v>
      </c>
      <c r="L80" s="64">
        <v>0</v>
      </c>
      <c r="M80" s="64">
        <v>963</v>
      </c>
      <c r="N80" s="64">
        <v>0</v>
      </c>
      <c r="O80" s="65">
        <v>6313</v>
      </c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</row>
    <row r="81" spans="1:30" x14ac:dyDescent="0.3">
      <c r="A81" s="60">
        <v>12</v>
      </c>
      <c r="B81" s="61">
        <v>108</v>
      </c>
      <c r="C81" s="62">
        <v>45824</v>
      </c>
      <c r="D81" s="63" t="s">
        <v>455</v>
      </c>
      <c r="E81" s="64" t="s">
        <v>116</v>
      </c>
      <c r="F81" s="64">
        <v>3919</v>
      </c>
      <c r="G81" s="63"/>
      <c r="H81" s="63"/>
      <c r="I81" s="63"/>
      <c r="J81" s="104">
        <v>26768</v>
      </c>
      <c r="K81" s="64">
        <v>0</v>
      </c>
      <c r="L81" s="64">
        <v>0</v>
      </c>
      <c r="M81" s="64">
        <v>4818.24</v>
      </c>
      <c r="N81" s="64">
        <v>0</v>
      </c>
      <c r="O81" s="65">
        <v>31586.240000000002</v>
      </c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</row>
    <row r="82" spans="1:30" x14ac:dyDescent="0.3">
      <c r="A82" s="60">
        <v>13</v>
      </c>
      <c r="B82" s="61">
        <v>5250</v>
      </c>
      <c r="C82" s="62">
        <v>45825</v>
      </c>
      <c r="D82" s="63" t="s">
        <v>456</v>
      </c>
      <c r="E82" s="64" t="s">
        <v>457</v>
      </c>
      <c r="F82" s="63"/>
      <c r="G82" s="63"/>
      <c r="H82" s="63"/>
      <c r="I82" s="63"/>
      <c r="J82" s="64">
        <v>2400</v>
      </c>
      <c r="K82" s="64">
        <v>216</v>
      </c>
      <c r="L82" s="64">
        <v>216</v>
      </c>
      <c r="M82" s="64">
        <v>0</v>
      </c>
      <c r="N82" s="64">
        <v>0</v>
      </c>
      <c r="O82" s="65">
        <v>2832</v>
      </c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</row>
    <row r="83" spans="1:30" x14ac:dyDescent="0.3">
      <c r="A83" s="60">
        <v>14</v>
      </c>
      <c r="B83" s="61">
        <v>2034</v>
      </c>
      <c r="C83" s="62">
        <v>45826</v>
      </c>
      <c r="D83" s="63" t="s">
        <v>113</v>
      </c>
      <c r="E83" s="64" t="s">
        <v>114</v>
      </c>
      <c r="F83" s="64">
        <v>44111200</v>
      </c>
      <c r="G83" s="63"/>
      <c r="H83" s="63"/>
      <c r="I83" s="63"/>
      <c r="J83" s="64">
        <v>78950</v>
      </c>
      <c r="K83" s="64">
        <v>7105.5</v>
      </c>
      <c r="L83" s="64">
        <v>7105.5</v>
      </c>
      <c r="M83" s="64">
        <v>0</v>
      </c>
      <c r="N83" s="64">
        <v>0</v>
      </c>
      <c r="O83" s="65">
        <v>93161</v>
      </c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</row>
    <row r="84" spans="1:30" x14ac:dyDescent="0.3">
      <c r="A84" s="66"/>
      <c r="B84" s="67"/>
      <c r="C84" s="63"/>
      <c r="D84" s="63"/>
      <c r="E84" s="63"/>
      <c r="F84" s="64">
        <v>39219099</v>
      </c>
      <c r="G84" s="63"/>
      <c r="H84" s="63"/>
      <c r="I84" s="63"/>
      <c r="J84" s="63"/>
      <c r="K84" s="63"/>
      <c r="L84" s="63"/>
      <c r="M84" s="63"/>
      <c r="N84" s="63"/>
      <c r="O84" s="68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</row>
    <row r="85" spans="1:30" x14ac:dyDescent="0.3">
      <c r="A85" s="60">
        <v>15</v>
      </c>
      <c r="B85" s="61" t="s">
        <v>458</v>
      </c>
      <c r="C85" s="62">
        <v>45828</v>
      </c>
      <c r="D85" s="63" t="s">
        <v>459</v>
      </c>
      <c r="E85" s="64" t="s">
        <v>190</v>
      </c>
      <c r="F85" s="64">
        <v>39211200</v>
      </c>
      <c r="G85" s="63"/>
      <c r="H85" s="63"/>
      <c r="I85" s="63"/>
      <c r="J85" s="64">
        <v>57376</v>
      </c>
      <c r="K85" s="64">
        <v>0</v>
      </c>
      <c r="L85" s="64">
        <v>0</v>
      </c>
      <c r="M85" s="64">
        <v>10327.68</v>
      </c>
      <c r="N85" s="64">
        <v>0</v>
      </c>
      <c r="O85" s="65">
        <v>67703.679999999993</v>
      </c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</row>
    <row r="86" spans="1:30" x14ac:dyDescent="0.3">
      <c r="A86" s="66"/>
      <c r="B86" s="67"/>
      <c r="C86" s="63"/>
      <c r="D86" s="63"/>
      <c r="E86" s="63"/>
      <c r="F86" s="64">
        <v>39199090</v>
      </c>
      <c r="G86" s="63"/>
      <c r="H86" s="63"/>
      <c r="I86" s="63"/>
      <c r="J86" s="63"/>
      <c r="K86" s="63"/>
      <c r="L86" s="63"/>
      <c r="M86" s="63"/>
      <c r="N86" s="63"/>
      <c r="O86" s="68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</row>
    <row r="87" spans="1:30" x14ac:dyDescent="0.3">
      <c r="A87" s="66"/>
      <c r="B87" s="67"/>
      <c r="C87" s="63"/>
      <c r="D87" s="63"/>
      <c r="E87" s="63"/>
      <c r="F87" s="64">
        <v>39204900</v>
      </c>
      <c r="G87" s="63"/>
      <c r="H87" s="63"/>
      <c r="I87" s="63"/>
      <c r="J87" s="63"/>
      <c r="K87" s="63"/>
      <c r="L87" s="63"/>
      <c r="M87" s="63"/>
      <c r="N87" s="63"/>
      <c r="O87" s="68"/>
      <c r="P87" s="83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</row>
    <row r="88" spans="1:30" x14ac:dyDescent="0.3">
      <c r="A88" s="60">
        <v>16</v>
      </c>
      <c r="B88" s="61">
        <v>6710</v>
      </c>
      <c r="C88" s="62">
        <v>45859</v>
      </c>
      <c r="D88" s="63" t="s">
        <v>460</v>
      </c>
      <c r="E88" s="64" t="s">
        <v>461</v>
      </c>
      <c r="F88" s="64">
        <v>4011</v>
      </c>
      <c r="G88" s="63"/>
      <c r="H88" s="63"/>
      <c r="I88" s="63"/>
      <c r="J88" s="63"/>
      <c r="K88" s="63"/>
      <c r="L88" s="64">
        <v>11093.75</v>
      </c>
      <c r="M88" s="64">
        <v>1553.125</v>
      </c>
      <c r="N88" s="64">
        <v>1553.125</v>
      </c>
      <c r="O88" s="64">
        <v>0</v>
      </c>
      <c r="P88" s="64">
        <v>0</v>
      </c>
      <c r="Q88" s="65">
        <v>14200</v>
      </c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</row>
    <row r="89" spans="1:30" x14ac:dyDescent="0.3">
      <c r="A89" s="60">
        <v>17</v>
      </c>
      <c r="B89" s="61" t="s">
        <v>462</v>
      </c>
      <c r="C89" s="62">
        <v>45832</v>
      </c>
      <c r="D89" s="63" t="s">
        <v>449</v>
      </c>
      <c r="E89" s="64" t="s">
        <v>211</v>
      </c>
      <c r="F89" s="64">
        <v>84439959</v>
      </c>
      <c r="G89" s="63"/>
      <c r="H89" s="63"/>
      <c r="I89" s="63"/>
      <c r="J89" s="64">
        <v>11000</v>
      </c>
      <c r="K89" s="64">
        <v>990</v>
      </c>
      <c r="L89" s="64">
        <v>990</v>
      </c>
      <c r="M89" s="64">
        <v>0</v>
      </c>
      <c r="N89" s="64">
        <v>0</v>
      </c>
      <c r="O89" s="65">
        <v>12980</v>
      </c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</row>
    <row r="90" spans="1:30" x14ac:dyDescent="0.3">
      <c r="A90" s="60">
        <v>18</v>
      </c>
      <c r="B90" s="61">
        <v>30</v>
      </c>
      <c r="C90" s="62">
        <v>45832</v>
      </c>
      <c r="D90" s="63" t="s">
        <v>463</v>
      </c>
      <c r="E90" s="64" t="s">
        <v>464</v>
      </c>
      <c r="F90" s="64">
        <v>3924</v>
      </c>
      <c r="G90" s="63"/>
      <c r="H90" s="63"/>
      <c r="I90" s="63"/>
      <c r="J90" s="64">
        <v>17011.259999999998</v>
      </c>
      <c r="K90" s="64">
        <v>1531.0134</v>
      </c>
      <c r="L90" s="64">
        <v>1531.0134</v>
      </c>
      <c r="M90" s="64">
        <v>0</v>
      </c>
      <c r="N90" s="64">
        <v>0</v>
      </c>
      <c r="O90" s="65">
        <v>20073.29</v>
      </c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</row>
    <row r="91" spans="1:30" x14ac:dyDescent="0.3">
      <c r="A91" s="60">
        <v>19</v>
      </c>
      <c r="B91" s="61">
        <v>763</v>
      </c>
      <c r="C91" s="62">
        <v>45834</v>
      </c>
      <c r="D91" s="63" t="s">
        <v>111</v>
      </c>
      <c r="E91" s="64" t="s">
        <v>112</v>
      </c>
      <c r="F91" s="64">
        <v>39205111</v>
      </c>
      <c r="G91" s="63"/>
      <c r="H91" s="63"/>
      <c r="I91" s="63"/>
      <c r="J91" s="64">
        <v>15058</v>
      </c>
      <c r="K91" s="64">
        <v>0</v>
      </c>
      <c r="L91" s="64">
        <v>0</v>
      </c>
      <c r="M91" s="64">
        <v>2710.44</v>
      </c>
      <c r="N91" s="64">
        <v>0</v>
      </c>
      <c r="O91" s="65">
        <v>17768.439999999999</v>
      </c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</row>
    <row r="92" spans="1:30" x14ac:dyDescent="0.3">
      <c r="A92" s="60">
        <v>20</v>
      </c>
      <c r="B92" s="61">
        <v>254</v>
      </c>
      <c r="C92" s="62">
        <v>45836</v>
      </c>
      <c r="D92" s="63" t="s">
        <v>378</v>
      </c>
      <c r="E92" s="64" t="s">
        <v>379</v>
      </c>
      <c r="F92" s="64">
        <v>8504</v>
      </c>
      <c r="G92" s="63"/>
      <c r="H92" s="63"/>
      <c r="I92" s="63"/>
      <c r="J92" s="64">
        <v>2504.41</v>
      </c>
      <c r="K92" s="64">
        <v>0</v>
      </c>
      <c r="L92" s="64">
        <v>0</v>
      </c>
      <c r="M92" s="64">
        <v>450.79379999999998</v>
      </c>
      <c r="N92" s="64">
        <v>0</v>
      </c>
      <c r="O92" s="65">
        <v>2955.2</v>
      </c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</row>
    <row r="93" spans="1:30" x14ac:dyDescent="0.3">
      <c r="A93" s="66"/>
      <c r="B93" s="67"/>
      <c r="C93" s="63"/>
      <c r="D93" s="63"/>
      <c r="E93" s="63"/>
      <c r="F93" s="64">
        <v>8517</v>
      </c>
      <c r="G93" s="63"/>
      <c r="H93" s="63"/>
      <c r="I93" s="63"/>
      <c r="J93" s="63"/>
      <c r="K93" s="63"/>
      <c r="L93" s="63"/>
      <c r="M93" s="63"/>
      <c r="N93" s="63"/>
      <c r="O93" s="68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</row>
    <row r="94" spans="1:30" x14ac:dyDescent="0.3">
      <c r="A94" s="60">
        <v>21</v>
      </c>
      <c r="B94" s="61">
        <v>20</v>
      </c>
      <c r="C94" s="62">
        <v>45838</v>
      </c>
      <c r="D94" s="63" t="s">
        <v>465</v>
      </c>
      <c r="E94" s="64" t="s">
        <v>230</v>
      </c>
      <c r="F94" s="64">
        <v>7209</v>
      </c>
      <c r="G94" s="63"/>
      <c r="H94" s="63"/>
      <c r="I94" s="63"/>
      <c r="J94" s="64">
        <v>598780</v>
      </c>
      <c r="K94" s="64">
        <v>0</v>
      </c>
      <c r="L94" s="64">
        <v>0</v>
      </c>
      <c r="M94" s="64">
        <v>107780.4</v>
      </c>
      <c r="N94" s="64">
        <v>0</v>
      </c>
      <c r="O94" s="65">
        <v>706560.4</v>
      </c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</row>
    <row r="95" spans="1:30" x14ac:dyDescent="0.3">
      <c r="A95" s="60">
        <v>22</v>
      </c>
      <c r="B95" s="61">
        <v>21</v>
      </c>
      <c r="C95" s="62">
        <v>45838</v>
      </c>
      <c r="D95" s="63" t="s">
        <v>465</v>
      </c>
      <c r="E95" s="64" t="s">
        <v>230</v>
      </c>
      <c r="F95" s="64">
        <v>7209</v>
      </c>
      <c r="G95" s="63"/>
      <c r="H95" s="63"/>
      <c r="I95" s="63"/>
      <c r="J95" s="64">
        <v>303996</v>
      </c>
      <c r="K95" s="64">
        <v>0</v>
      </c>
      <c r="L95" s="64">
        <v>0</v>
      </c>
      <c r="M95" s="64">
        <v>54719.28</v>
      </c>
      <c r="N95" s="64">
        <v>0</v>
      </c>
      <c r="O95" s="65">
        <v>358715.28</v>
      </c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</row>
    <row r="96" spans="1:30" x14ac:dyDescent="0.3">
      <c r="A96" s="66"/>
      <c r="B96" s="67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8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</row>
    <row r="97" spans="1:30" x14ac:dyDescent="0.3">
      <c r="A97" s="66"/>
      <c r="B97" s="67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8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</row>
    <row r="98" spans="1:30" x14ac:dyDescent="0.3">
      <c r="A98" s="69"/>
      <c r="B98" s="67"/>
      <c r="C98" s="63"/>
      <c r="D98" s="63"/>
      <c r="E98" s="63"/>
      <c r="F98" s="63"/>
      <c r="G98" s="63"/>
      <c r="H98" s="63"/>
      <c r="I98" s="63"/>
      <c r="J98" s="63"/>
      <c r="K98" s="68"/>
      <c r="L98" s="63"/>
      <c r="M98" s="63"/>
      <c r="N98" s="63"/>
      <c r="O98" s="63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</row>
    <row r="99" spans="1:30" x14ac:dyDescent="0.3">
      <c r="A99" s="69"/>
      <c r="B99" s="67"/>
      <c r="C99" s="63"/>
      <c r="D99" s="63"/>
      <c r="E99" s="63"/>
      <c r="F99" s="63"/>
      <c r="G99" s="63"/>
      <c r="H99" s="63"/>
      <c r="I99" s="63"/>
      <c r="J99" s="63"/>
      <c r="K99" s="68"/>
      <c r="L99" s="63"/>
      <c r="M99" s="63"/>
      <c r="N99" s="63"/>
      <c r="O99" s="63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</row>
    <row r="100" spans="1:30" x14ac:dyDescent="0.3">
      <c r="A100" s="69"/>
      <c r="B100" s="67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</row>
    <row r="101" spans="1:30" x14ac:dyDescent="0.3">
      <c r="A101" s="69"/>
      <c r="B101" s="67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</row>
    <row r="102" spans="1:30" x14ac:dyDescent="0.3">
      <c r="A102" s="69"/>
      <c r="B102" s="67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</row>
    <row r="103" spans="1:30" x14ac:dyDescent="0.3">
      <c r="A103" s="69"/>
      <c r="B103" s="67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</row>
    <row r="104" spans="1:30" x14ac:dyDescent="0.3">
      <c r="A104" s="69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</row>
    <row r="105" spans="1:30" x14ac:dyDescent="0.3">
      <c r="A105" s="69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</row>
    <row r="106" spans="1:30" x14ac:dyDescent="0.3">
      <c r="A106" s="69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</row>
    <row r="107" spans="1:30" x14ac:dyDescent="0.3">
      <c r="A107" s="158" t="s">
        <v>172</v>
      </c>
      <c r="B107" s="159"/>
      <c r="C107" s="159"/>
      <c r="D107" s="159"/>
      <c r="E107" s="160"/>
      <c r="F107" s="84"/>
      <c r="G107" s="84"/>
      <c r="H107" s="84"/>
      <c r="I107" s="84"/>
      <c r="J107" s="85">
        <v>1286086.6000000001</v>
      </c>
      <c r="K107" s="86">
        <v>21808.733400000001</v>
      </c>
      <c r="L107" s="86">
        <v>32902.483399999997</v>
      </c>
      <c r="M107" s="86">
        <v>189172.3504</v>
      </c>
      <c r="N107" s="86">
        <v>0</v>
      </c>
      <c r="O107" s="85">
        <v>1517323.29</v>
      </c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</row>
    <row r="108" spans="1:30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</row>
    <row r="109" spans="1:30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</row>
    <row r="110" spans="1:30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</row>
    <row r="111" spans="1:30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</row>
    <row r="112" spans="1:30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</row>
    <row r="113" spans="1:30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</row>
    <row r="114" spans="1:30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</row>
    <row r="115" spans="1:30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</row>
    <row r="116" spans="1:30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</row>
    <row r="117" spans="1:30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</row>
    <row r="118" spans="1:30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</row>
    <row r="119" spans="1:30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</row>
    <row r="120" spans="1:30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</row>
    <row r="121" spans="1:30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</row>
    <row r="122" spans="1:30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</row>
    <row r="123" spans="1:30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</row>
    <row r="124" spans="1:30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</row>
    <row r="125" spans="1:30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</row>
    <row r="126" spans="1:30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</row>
    <row r="127" spans="1:30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</row>
    <row r="128" spans="1:30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</row>
    <row r="129" spans="1:30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</row>
    <row r="130" spans="1:30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</row>
    <row r="131" spans="1:30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</row>
    <row r="132" spans="1:30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</row>
    <row r="133" spans="1:30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</row>
    <row r="134" spans="1:30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</row>
    <row r="135" spans="1:30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</row>
    <row r="136" spans="1:30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</row>
    <row r="137" spans="1:30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</row>
    <row r="138" spans="1:30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</row>
    <row r="139" spans="1:30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</row>
    <row r="140" spans="1:30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</row>
    <row r="141" spans="1:30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</row>
    <row r="142" spans="1:30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</row>
    <row r="143" spans="1:30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</row>
    <row r="144" spans="1:30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</row>
    <row r="145" spans="1:30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</row>
    <row r="146" spans="1:30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</row>
    <row r="147" spans="1:30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</row>
    <row r="148" spans="1:30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</row>
    <row r="149" spans="1:30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</row>
    <row r="150" spans="1:30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</row>
    <row r="151" spans="1:30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</row>
    <row r="152" spans="1:30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</row>
    <row r="153" spans="1:30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</row>
    <row r="154" spans="1:30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</row>
    <row r="155" spans="1:30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</row>
    <row r="156" spans="1:30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</row>
    <row r="157" spans="1:30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</row>
    <row r="158" spans="1:30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</row>
    <row r="159" spans="1:30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</row>
    <row r="160" spans="1:30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</row>
    <row r="161" spans="1:30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</row>
    <row r="162" spans="1:30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</row>
    <row r="163" spans="1:30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</row>
    <row r="164" spans="1:30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</row>
    <row r="165" spans="1:30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</row>
    <row r="166" spans="1:30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</row>
    <row r="167" spans="1:30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</row>
    <row r="168" spans="1:30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</row>
    <row r="169" spans="1:30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</row>
    <row r="170" spans="1:30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</row>
    <row r="171" spans="1:30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</row>
    <row r="172" spans="1:30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</row>
    <row r="173" spans="1:30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</row>
    <row r="174" spans="1:30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</row>
    <row r="175" spans="1:30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</row>
    <row r="176" spans="1:30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</row>
    <row r="177" spans="1:30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</row>
    <row r="178" spans="1:30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</row>
    <row r="179" spans="1:30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</row>
    <row r="180" spans="1:30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</row>
    <row r="181" spans="1:30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</row>
    <row r="182" spans="1:30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</row>
    <row r="183" spans="1:30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</row>
    <row r="184" spans="1:30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</row>
    <row r="185" spans="1:30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</row>
    <row r="186" spans="1:30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</row>
    <row r="187" spans="1:30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</row>
    <row r="188" spans="1:30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</row>
    <row r="189" spans="1:30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</row>
    <row r="190" spans="1:30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</row>
    <row r="191" spans="1:30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</row>
    <row r="192" spans="1:30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</row>
    <row r="193" spans="1:30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</row>
    <row r="194" spans="1:30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</row>
    <row r="195" spans="1:30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</row>
    <row r="196" spans="1:30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</row>
    <row r="197" spans="1:30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</row>
    <row r="198" spans="1:30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</row>
    <row r="199" spans="1:30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</row>
    <row r="200" spans="1:30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</row>
    <row r="201" spans="1:30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</row>
    <row r="202" spans="1:30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</row>
    <row r="203" spans="1:30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</row>
    <row r="204" spans="1:30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</row>
    <row r="205" spans="1:30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</row>
    <row r="206" spans="1:30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</row>
    <row r="207" spans="1:30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</row>
    <row r="208" spans="1:30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</row>
    <row r="209" spans="1:30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</row>
    <row r="210" spans="1:30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</row>
    <row r="211" spans="1:30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</row>
    <row r="212" spans="1:30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</row>
    <row r="213" spans="1:30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</row>
    <row r="214" spans="1:30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</row>
    <row r="215" spans="1:30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</row>
    <row r="216" spans="1:30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</row>
    <row r="217" spans="1:30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</row>
    <row r="218" spans="1:30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</row>
    <row r="219" spans="1:30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</row>
    <row r="220" spans="1:30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</row>
    <row r="221" spans="1:30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</row>
    <row r="222" spans="1:30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</row>
    <row r="223" spans="1:30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</row>
    <row r="224" spans="1:30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</row>
    <row r="225" spans="1:30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</row>
    <row r="226" spans="1:30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</row>
    <row r="227" spans="1:30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</row>
    <row r="228" spans="1:30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</row>
    <row r="229" spans="1:30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</row>
    <row r="230" spans="1:30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</row>
    <row r="231" spans="1:30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</row>
    <row r="232" spans="1:30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</row>
    <row r="233" spans="1:30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</row>
    <row r="234" spans="1:30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</row>
    <row r="235" spans="1:30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</row>
    <row r="236" spans="1:30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</row>
    <row r="237" spans="1:30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</row>
    <row r="238" spans="1:30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</row>
    <row r="239" spans="1:30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</row>
    <row r="240" spans="1:30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</row>
    <row r="241" spans="1:30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</row>
    <row r="242" spans="1:30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</row>
    <row r="243" spans="1:30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</row>
    <row r="244" spans="1:30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</row>
    <row r="245" spans="1:30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</row>
    <row r="246" spans="1:30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</row>
    <row r="247" spans="1:30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</row>
    <row r="248" spans="1:30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</row>
    <row r="249" spans="1:30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</row>
    <row r="250" spans="1:30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</row>
    <row r="251" spans="1:30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</row>
    <row r="252" spans="1:30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</row>
    <row r="253" spans="1:30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</row>
    <row r="254" spans="1:30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</row>
    <row r="255" spans="1:30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</row>
    <row r="256" spans="1:30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</row>
    <row r="257" spans="1:30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</row>
    <row r="258" spans="1:30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</row>
    <row r="259" spans="1:30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</row>
    <row r="260" spans="1:30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</row>
    <row r="261" spans="1:30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</row>
    <row r="262" spans="1:30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</row>
    <row r="263" spans="1:30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</row>
    <row r="264" spans="1:30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</row>
    <row r="265" spans="1:30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</row>
    <row r="266" spans="1:30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</row>
    <row r="267" spans="1:30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</row>
    <row r="268" spans="1:30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</row>
    <row r="269" spans="1:30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</row>
    <row r="270" spans="1:30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</row>
    <row r="271" spans="1:30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</row>
    <row r="272" spans="1:30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</row>
    <row r="273" spans="1:30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</row>
    <row r="274" spans="1:30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</row>
    <row r="275" spans="1:30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</row>
    <row r="276" spans="1:30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</row>
    <row r="277" spans="1:30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</row>
    <row r="278" spans="1:30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</row>
    <row r="279" spans="1:30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</row>
    <row r="280" spans="1:30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</row>
    <row r="281" spans="1:30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</row>
    <row r="282" spans="1:30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</row>
    <row r="283" spans="1:30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</row>
    <row r="284" spans="1:30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</row>
    <row r="285" spans="1:30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</row>
    <row r="286" spans="1:30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</row>
    <row r="287" spans="1:30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</row>
    <row r="288" spans="1:30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</row>
    <row r="289" spans="1:30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</row>
    <row r="290" spans="1:30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</row>
    <row r="291" spans="1:30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</row>
    <row r="292" spans="1:30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</row>
    <row r="293" spans="1:30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</row>
    <row r="294" spans="1:30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</row>
    <row r="295" spans="1:30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</row>
    <row r="296" spans="1:30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</row>
    <row r="297" spans="1:30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</row>
    <row r="298" spans="1:30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</row>
    <row r="299" spans="1:30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</row>
    <row r="300" spans="1:30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</row>
    <row r="301" spans="1:30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</row>
    <row r="302" spans="1:30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</row>
    <row r="303" spans="1:30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</row>
    <row r="304" spans="1:30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</row>
    <row r="305" spans="1:30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</row>
    <row r="306" spans="1:30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</row>
    <row r="307" spans="1:30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</row>
    <row r="308" spans="1:30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</row>
    <row r="309" spans="1:30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</row>
    <row r="310" spans="1:30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</row>
    <row r="311" spans="1:30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</row>
    <row r="312" spans="1:30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</row>
    <row r="313" spans="1:30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</row>
    <row r="314" spans="1:30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</row>
    <row r="315" spans="1:30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</row>
    <row r="316" spans="1:30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</row>
    <row r="317" spans="1:30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</row>
    <row r="318" spans="1:30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</row>
    <row r="319" spans="1:30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</row>
    <row r="320" spans="1:30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</row>
    <row r="321" spans="1:30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</row>
    <row r="322" spans="1:30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</row>
    <row r="323" spans="1:30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</row>
    <row r="324" spans="1:30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</row>
    <row r="325" spans="1:30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</row>
    <row r="326" spans="1:30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</row>
    <row r="327" spans="1:30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</row>
    <row r="328" spans="1:30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</row>
    <row r="329" spans="1:30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</row>
    <row r="330" spans="1:30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</row>
    <row r="331" spans="1:30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</row>
    <row r="332" spans="1:30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</row>
    <row r="333" spans="1:30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</row>
    <row r="334" spans="1:30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</row>
    <row r="335" spans="1:30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</row>
    <row r="336" spans="1:30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</row>
    <row r="337" spans="1:30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</row>
    <row r="338" spans="1:30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</row>
    <row r="339" spans="1:30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</row>
    <row r="340" spans="1:30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</row>
    <row r="341" spans="1:30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</row>
    <row r="342" spans="1:30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</row>
    <row r="343" spans="1:30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</row>
    <row r="344" spans="1:30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</row>
    <row r="345" spans="1:30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</row>
    <row r="346" spans="1:30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</row>
    <row r="347" spans="1:30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</row>
    <row r="348" spans="1:30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</row>
    <row r="349" spans="1:30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</row>
    <row r="350" spans="1:30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</row>
    <row r="351" spans="1:30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</row>
    <row r="352" spans="1:30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</row>
    <row r="353" spans="1:30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</row>
    <row r="354" spans="1:30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</row>
    <row r="355" spans="1:30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</row>
    <row r="356" spans="1:30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</row>
    <row r="357" spans="1:30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</row>
    <row r="358" spans="1:30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</row>
    <row r="359" spans="1:30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</row>
    <row r="360" spans="1:30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</row>
    <row r="361" spans="1:30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</row>
    <row r="362" spans="1:30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</row>
    <row r="363" spans="1:30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</row>
    <row r="364" spans="1:30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</row>
    <row r="365" spans="1:30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</row>
    <row r="366" spans="1:30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</row>
    <row r="367" spans="1:30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</row>
    <row r="368" spans="1:30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</row>
    <row r="369" spans="1:30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</row>
    <row r="370" spans="1:30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</row>
    <row r="371" spans="1:30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</row>
    <row r="372" spans="1:30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</row>
    <row r="373" spans="1:30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</row>
    <row r="374" spans="1:30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</row>
    <row r="375" spans="1:30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</row>
    <row r="376" spans="1:30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</row>
    <row r="377" spans="1:30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</row>
    <row r="378" spans="1:30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</row>
    <row r="379" spans="1:30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</row>
    <row r="380" spans="1:30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</row>
    <row r="381" spans="1:30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</row>
    <row r="382" spans="1:30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</row>
    <row r="383" spans="1:30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</row>
    <row r="384" spans="1:30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</row>
    <row r="385" spans="1:30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</row>
    <row r="386" spans="1:30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</row>
    <row r="387" spans="1:30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</row>
    <row r="388" spans="1:30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</row>
    <row r="389" spans="1:30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</row>
    <row r="390" spans="1:30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</row>
    <row r="391" spans="1:30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</row>
    <row r="392" spans="1:30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</row>
    <row r="393" spans="1:30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</row>
    <row r="394" spans="1:30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</row>
    <row r="395" spans="1:30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</row>
    <row r="396" spans="1:30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</row>
    <row r="397" spans="1:30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</row>
    <row r="398" spans="1:30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</row>
    <row r="399" spans="1:30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</row>
    <row r="400" spans="1:30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</row>
    <row r="401" spans="1:30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</row>
    <row r="402" spans="1:30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</row>
    <row r="403" spans="1:30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</row>
    <row r="404" spans="1:30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</row>
    <row r="405" spans="1:30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</row>
    <row r="406" spans="1:30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</row>
    <row r="407" spans="1:30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</row>
    <row r="408" spans="1:30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</row>
    <row r="409" spans="1:30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</row>
    <row r="410" spans="1:30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</row>
    <row r="411" spans="1:30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</row>
    <row r="412" spans="1:30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</row>
    <row r="413" spans="1:30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</row>
    <row r="414" spans="1:30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</row>
    <row r="415" spans="1:30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</row>
    <row r="416" spans="1:30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</row>
    <row r="417" spans="1:30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</row>
    <row r="418" spans="1:30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</row>
    <row r="419" spans="1:30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</row>
    <row r="420" spans="1:30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</row>
    <row r="421" spans="1:30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</row>
    <row r="422" spans="1:30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</row>
    <row r="423" spans="1:30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</row>
    <row r="424" spans="1:30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</row>
    <row r="425" spans="1:30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</row>
    <row r="426" spans="1:30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</row>
    <row r="427" spans="1:30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</row>
    <row r="428" spans="1:30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</row>
    <row r="429" spans="1:30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</row>
    <row r="430" spans="1:30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</row>
    <row r="431" spans="1:30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</row>
    <row r="432" spans="1:30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</row>
    <row r="433" spans="1:30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</row>
    <row r="434" spans="1:30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</row>
    <row r="435" spans="1:30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</row>
    <row r="436" spans="1:30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</row>
    <row r="437" spans="1:30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</row>
    <row r="438" spans="1:30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</row>
    <row r="439" spans="1:30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</row>
    <row r="440" spans="1:30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</row>
    <row r="441" spans="1:30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</row>
    <row r="442" spans="1:30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</row>
    <row r="443" spans="1:30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</row>
    <row r="444" spans="1:30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</row>
    <row r="445" spans="1:30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</row>
    <row r="446" spans="1:30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</row>
    <row r="447" spans="1:30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</row>
    <row r="448" spans="1:30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</row>
    <row r="449" spans="1:30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</row>
    <row r="450" spans="1:30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</row>
    <row r="451" spans="1:30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</row>
    <row r="452" spans="1:30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</row>
    <row r="453" spans="1:30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</row>
    <row r="454" spans="1:30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</row>
    <row r="455" spans="1:30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</row>
    <row r="456" spans="1:30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</row>
    <row r="457" spans="1:30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</row>
    <row r="458" spans="1:30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</row>
    <row r="459" spans="1:30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</row>
    <row r="460" spans="1:30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</row>
    <row r="461" spans="1:30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</row>
    <row r="462" spans="1:30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</row>
    <row r="463" spans="1:30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</row>
    <row r="464" spans="1:30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</row>
    <row r="465" spans="1:30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</row>
    <row r="466" spans="1:30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</row>
    <row r="467" spans="1:30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</row>
    <row r="468" spans="1:30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</row>
    <row r="469" spans="1:30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</row>
    <row r="470" spans="1:30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</row>
    <row r="471" spans="1:30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</row>
    <row r="472" spans="1:30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</row>
    <row r="473" spans="1:30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</row>
    <row r="474" spans="1:30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</row>
    <row r="475" spans="1:30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</row>
    <row r="476" spans="1:30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</row>
    <row r="477" spans="1:30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</row>
    <row r="478" spans="1:30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</row>
    <row r="479" spans="1:30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</row>
    <row r="480" spans="1:30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</row>
    <row r="481" spans="1:30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</row>
    <row r="482" spans="1:30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</row>
    <row r="483" spans="1:30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</row>
    <row r="484" spans="1:30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</row>
    <row r="485" spans="1:30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</row>
    <row r="486" spans="1:30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</row>
    <row r="487" spans="1:30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</row>
    <row r="488" spans="1:30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</row>
    <row r="489" spans="1:30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</row>
    <row r="490" spans="1:30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</row>
    <row r="491" spans="1:30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</row>
    <row r="492" spans="1:30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</row>
    <row r="493" spans="1:30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</row>
    <row r="494" spans="1:30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</row>
    <row r="495" spans="1:30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</row>
    <row r="496" spans="1:30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</row>
    <row r="497" spans="1:30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</row>
    <row r="498" spans="1:30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</row>
    <row r="499" spans="1:30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</row>
    <row r="500" spans="1:30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</row>
    <row r="501" spans="1:30" x14ac:dyDescent="0.3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</row>
    <row r="502" spans="1:30" x14ac:dyDescent="0.3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</row>
    <row r="503" spans="1:30" x14ac:dyDescent="0.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</row>
    <row r="504" spans="1:30" x14ac:dyDescent="0.3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</row>
    <row r="505" spans="1:30" x14ac:dyDescent="0.3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</row>
    <row r="506" spans="1:30" x14ac:dyDescent="0.3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</row>
    <row r="507" spans="1:30" x14ac:dyDescent="0.3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</row>
    <row r="508" spans="1:30" x14ac:dyDescent="0.3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</row>
    <row r="509" spans="1:30" x14ac:dyDescent="0.3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</row>
    <row r="510" spans="1:30" x14ac:dyDescent="0.3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</row>
    <row r="511" spans="1:30" x14ac:dyDescent="0.3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</row>
    <row r="512" spans="1:30" x14ac:dyDescent="0.3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</row>
    <row r="513" spans="1:30" x14ac:dyDescent="0.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</row>
    <row r="514" spans="1:30" x14ac:dyDescent="0.3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</row>
    <row r="515" spans="1:30" x14ac:dyDescent="0.3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</row>
    <row r="516" spans="1:30" x14ac:dyDescent="0.3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</row>
    <row r="517" spans="1:30" x14ac:dyDescent="0.3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</row>
    <row r="518" spans="1:30" x14ac:dyDescent="0.3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</row>
    <row r="519" spans="1:30" x14ac:dyDescent="0.3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</row>
    <row r="520" spans="1:30" x14ac:dyDescent="0.3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</row>
    <row r="521" spans="1:30" x14ac:dyDescent="0.3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</row>
    <row r="522" spans="1:30" x14ac:dyDescent="0.3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</row>
    <row r="523" spans="1:30" x14ac:dyDescent="0.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</row>
    <row r="524" spans="1:30" x14ac:dyDescent="0.3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</row>
    <row r="525" spans="1:30" x14ac:dyDescent="0.3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</row>
    <row r="526" spans="1:30" x14ac:dyDescent="0.3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</row>
    <row r="527" spans="1:30" x14ac:dyDescent="0.3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</row>
    <row r="528" spans="1:30" x14ac:dyDescent="0.3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</row>
    <row r="529" spans="1:30" x14ac:dyDescent="0.3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</row>
    <row r="530" spans="1:30" x14ac:dyDescent="0.3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</row>
    <row r="531" spans="1:30" x14ac:dyDescent="0.3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</row>
    <row r="532" spans="1:30" x14ac:dyDescent="0.3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</row>
    <row r="533" spans="1:30" x14ac:dyDescent="0.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</row>
    <row r="534" spans="1:30" x14ac:dyDescent="0.3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</row>
    <row r="535" spans="1:30" x14ac:dyDescent="0.3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</row>
    <row r="536" spans="1:30" x14ac:dyDescent="0.3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</row>
    <row r="537" spans="1:30" x14ac:dyDescent="0.3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</row>
    <row r="538" spans="1:30" x14ac:dyDescent="0.3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</row>
    <row r="539" spans="1:30" x14ac:dyDescent="0.3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</row>
    <row r="540" spans="1:30" x14ac:dyDescent="0.3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</row>
    <row r="541" spans="1:30" x14ac:dyDescent="0.3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</row>
    <row r="542" spans="1:30" x14ac:dyDescent="0.3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</row>
    <row r="543" spans="1:30" x14ac:dyDescent="0.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</row>
    <row r="544" spans="1:30" x14ac:dyDescent="0.3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</row>
    <row r="545" spans="1:30" x14ac:dyDescent="0.3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</row>
    <row r="546" spans="1:30" x14ac:dyDescent="0.3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</row>
    <row r="547" spans="1:30" x14ac:dyDescent="0.3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</row>
    <row r="548" spans="1:30" x14ac:dyDescent="0.3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</row>
    <row r="549" spans="1:30" x14ac:dyDescent="0.3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</row>
    <row r="550" spans="1:30" x14ac:dyDescent="0.3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</row>
    <row r="551" spans="1:30" x14ac:dyDescent="0.3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</row>
    <row r="552" spans="1:30" x14ac:dyDescent="0.3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</row>
    <row r="553" spans="1:30" x14ac:dyDescent="0.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</row>
    <row r="554" spans="1:30" x14ac:dyDescent="0.3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</row>
    <row r="555" spans="1:30" x14ac:dyDescent="0.3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</row>
    <row r="556" spans="1:30" x14ac:dyDescent="0.3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</row>
    <row r="557" spans="1:30" x14ac:dyDescent="0.3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</row>
    <row r="558" spans="1:30" x14ac:dyDescent="0.3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</row>
    <row r="559" spans="1:30" x14ac:dyDescent="0.3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</row>
    <row r="560" spans="1:30" x14ac:dyDescent="0.3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</row>
    <row r="561" spans="1:30" x14ac:dyDescent="0.3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</row>
    <row r="562" spans="1:30" x14ac:dyDescent="0.3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</row>
    <row r="563" spans="1:30" x14ac:dyDescent="0.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</row>
    <row r="564" spans="1:30" x14ac:dyDescent="0.3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</row>
    <row r="565" spans="1:30" x14ac:dyDescent="0.3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</row>
    <row r="566" spans="1:30" x14ac:dyDescent="0.3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</row>
    <row r="567" spans="1:30" x14ac:dyDescent="0.3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</row>
    <row r="568" spans="1:30" x14ac:dyDescent="0.3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</row>
    <row r="569" spans="1:30" x14ac:dyDescent="0.3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</row>
    <row r="570" spans="1:30" x14ac:dyDescent="0.3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</row>
    <row r="571" spans="1:30" x14ac:dyDescent="0.3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</row>
    <row r="572" spans="1:30" x14ac:dyDescent="0.3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</row>
    <row r="573" spans="1:30" x14ac:dyDescent="0.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</row>
    <row r="574" spans="1:30" x14ac:dyDescent="0.3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</row>
    <row r="575" spans="1:30" x14ac:dyDescent="0.3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</row>
    <row r="576" spans="1:30" x14ac:dyDescent="0.3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</row>
    <row r="577" spans="1:30" x14ac:dyDescent="0.3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</row>
    <row r="578" spans="1:30" x14ac:dyDescent="0.3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</row>
    <row r="579" spans="1:30" x14ac:dyDescent="0.3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</row>
    <row r="580" spans="1:30" x14ac:dyDescent="0.3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</row>
    <row r="581" spans="1:30" x14ac:dyDescent="0.3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</row>
    <row r="582" spans="1:30" x14ac:dyDescent="0.3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</row>
    <row r="583" spans="1:30" x14ac:dyDescent="0.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</row>
    <row r="584" spans="1:30" x14ac:dyDescent="0.3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</row>
    <row r="585" spans="1:30" x14ac:dyDescent="0.3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</row>
    <row r="586" spans="1:30" x14ac:dyDescent="0.3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</row>
    <row r="587" spans="1:30" x14ac:dyDescent="0.3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</row>
    <row r="588" spans="1:30" x14ac:dyDescent="0.3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</row>
    <row r="589" spans="1:30" x14ac:dyDescent="0.3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</row>
    <row r="590" spans="1:30" x14ac:dyDescent="0.3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</row>
    <row r="591" spans="1:30" x14ac:dyDescent="0.3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</row>
    <row r="592" spans="1:30" x14ac:dyDescent="0.3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</row>
    <row r="593" spans="1:30" x14ac:dyDescent="0.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</row>
    <row r="594" spans="1:30" x14ac:dyDescent="0.3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</row>
    <row r="595" spans="1:30" x14ac:dyDescent="0.3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</row>
    <row r="596" spans="1:30" x14ac:dyDescent="0.3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</row>
    <row r="597" spans="1:30" x14ac:dyDescent="0.3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</row>
    <row r="598" spans="1:30" x14ac:dyDescent="0.3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</row>
    <row r="599" spans="1:30" x14ac:dyDescent="0.3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</row>
    <row r="600" spans="1:30" x14ac:dyDescent="0.3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</row>
    <row r="601" spans="1:30" x14ac:dyDescent="0.3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</row>
    <row r="602" spans="1:30" x14ac:dyDescent="0.3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</row>
    <row r="603" spans="1:30" x14ac:dyDescent="0.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</row>
    <row r="604" spans="1:30" x14ac:dyDescent="0.3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</row>
    <row r="605" spans="1:30" x14ac:dyDescent="0.3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</row>
    <row r="606" spans="1:30" x14ac:dyDescent="0.3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</row>
    <row r="607" spans="1:30" x14ac:dyDescent="0.3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</row>
    <row r="608" spans="1:30" x14ac:dyDescent="0.3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</row>
    <row r="609" spans="1:30" x14ac:dyDescent="0.3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</row>
    <row r="610" spans="1:30" x14ac:dyDescent="0.3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</row>
    <row r="611" spans="1:30" x14ac:dyDescent="0.3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</row>
    <row r="612" spans="1:30" x14ac:dyDescent="0.3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</row>
    <row r="613" spans="1:30" x14ac:dyDescent="0.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</row>
    <row r="614" spans="1:30" x14ac:dyDescent="0.3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</row>
    <row r="615" spans="1:30" x14ac:dyDescent="0.3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</row>
    <row r="616" spans="1:30" x14ac:dyDescent="0.3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</row>
    <row r="617" spans="1:30" x14ac:dyDescent="0.3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</row>
    <row r="618" spans="1:30" x14ac:dyDescent="0.3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</row>
    <row r="619" spans="1:30" x14ac:dyDescent="0.3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</row>
    <row r="620" spans="1:30" x14ac:dyDescent="0.3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</row>
    <row r="621" spans="1:30" x14ac:dyDescent="0.3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</row>
    <row r="622" spans="1:30" x14ac:dyDescent="0.3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</row>
    <row r="623" spans="1:30" x14ac:dyDescent="0.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</row>
    <row r="624" spans="1:30" x14ac:dyDescent="0.3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</row>
    <row r="625" spans="1:30" x14ac:dyDescent="0.3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</row>
    <row r="626" spans="1:30" x14ac:dyDescent="0.3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</row>
    <row r="627" spans="1:30" x14ac:dyDescent="0.3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</row>
    <row r="628" spans="1:30" x14ac:dyDescent="0.3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</row>
    <row r="629" spans="1:30" x14ac:dyDescent="0.3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</row>
    <row r="630" spans="1:30" x14ac:dyDescent="0.3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</row>
    <row r="631" spans="1:30" x14ac:dyDescent="0.3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</row>
    <row r="632" spans="1:30" x14ac:dyDescent="0.3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</row>
    <row r="633" spans="1:30" x14ac:dyDescent="0.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</row>
    <row r="634" spans="1:30" x14ac:dyDescent="0.3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</row>
    <row r="635" spans="1:30" x14ac:dyDescent="0.3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</row>
    <row r="636" spans="1:30" x14ac:dyDescent="0.3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</row>
    <row r="637" spans="1:30" x14ac:dyDescent="0.3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</row>
    <row r="638" spans="1:30" x14ac:dyDescent="0.3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</row>
    <row r="639" spans="1:30" x14ac:dyDescent="0.3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</row>
    <row r="640" spans="1:30" x14ac:dyDescent="0.3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</row>
    <row r="641" spans="1:30" x14ac:dyDescent="0.3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</row>
    <row r="642" spans="1:30" x14ac:dyDescent="0.3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</row>
    <row r="643" spans="1:30" x14ac:dyDescent="0.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</row>
    <row r="644" spans="1:30" x14ac:dyDescent="0.3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</row>
    <row r="645" spans="1:30" x14ac:dyDescent="0.3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</row>
    <row r="646" spans="1:30" x14ac:dyDescent="0.3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</row>
    <row r="647" spans="1:30" x14ac:dyDescent="0.3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</row>
    <row r="648" spans="1:30" x14ac:dyDescent="0.3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</row>
    <row r="649" spans="1:30" x14ac:dyDescent="0.3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</row>
    <row r="650" spans="1:30" x14ac:dyDescent="0.3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</row>
    <row r="651" spans="1:30" x14ac:dyDescent="0.3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</row>
    <row r="652" spans="1:30" x14ac:dyDescent="0.3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</row>
    <row r="653" spans="1:30" x14ac:dyDescent="0.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</row>
    <row r="654" spans="1:30" x14ac:dyDescent="0.3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</row>
    <row r="655" spans="1:30" x14ac:dyDescent="0.3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</row>
    <row r="656" spans="1:30" x14ac:dyDescent="0.3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</row>
    <row r="657" spans="1:30" x14ac:dyDescent="0.3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</row>
    <row r="658" spans="1:30" x14ac:dyDescent="0.3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</row>
    <row r="659" spans="1:30" x14ac:dyDescent="0.3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</row>
    <row r="660" spans="1:30" x14ac:dyDescent="0.3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</row>
    <row r="661" spans="1:30" x14ac:dyDescent="0.3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</row>
    <row r="662" spans="1:30" x14ac:dyDescent="0.3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</row>
    <row r="663" spans="1:30" x14ac:dyDescent="0.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</row>
    <row r="664" spans="1:30" x14ac:dyDescent="0.3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</row>
    <row r="665" spans="1:30" x14ac:dyDescent="0.3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</row>
    <row r="666" spans="1:30" x14ac:dyDescent="0.3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</row>
    <row r="667" spans="1:30" x14ac:dyDescent="0.3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</row>
    <row r="668" spans="1:30" x14ac:dyDescent="0.3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</row>
    <row r="669" spans="1:30" x14ac:dyDescent="0.3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</row>
    <row r="670" spans="1:30" x14ac:dyDescent="0.3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</row>
    <row r="671" spans="1:30" x14ac:dyDescent="0.3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</row>
    <row r="672" spans="1:30" x14ac:dyDescent="0.3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</row>
    <row r="673" spans="1:30" x14ac:dyDescent="0.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</row>
    <row r="674" spans="1:30" x14ac:dyDescent="0.3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</row>
    <row r="675" spans="1:30" x14ac:dyDescent="0.3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</row>
    <row r="676" spans="1:30" x14ac:dyDescent="0.3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</row>
    <row r="677" spans="1:30" x14ac:dyDescent="0.3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</row>
    <row r="678" spans="1:30" x14ac:dyDescent="0.3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</row>
    <row r="679" spans="1:30" x14ac:dyDescent="0.3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</row>
    <row r="680" spans="1:30" x14ac:dyDescent="0.3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</row>
    <row r="681" spans="1:30" x14ac:dyDescent="0.3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</row>
    <row r="682" spans="1:30" x14ac:dyDescent="0.3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</row>
    <row r="683" spans="1:30" x14ac:dyDescent="0.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</row>
    <row r="684" spans="1:30" x14ac:dyDescent="0.3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</row>
    <row r="685" spans="1:30" x14ac:dyDescent="0.3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</row>
    <row r="686" spans="1:30" x14ac:dyDescent="0.3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</row>
    <row r="687" spans="1:30" x14ac:dyDescent="0.3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</row>
    <row r="688" spans="1:30" x14ac:dyDescent="0.3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</row>
    <row r="689" spans="1:30" x14ac:dyDescent="0.3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</row>
    <row r="690" spans="1:30" x14ac:dyDescent="0.3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</row>
    <row r="691" spans="1:30" x14ac:dyDescent="0.3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</row>
    <row r="692" spans="1:30" x14ac:dyDescent="0.3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</row>
    <row r="693" spans="1:30" x14ac:dyDescent="0.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</row>
    <row r="694" spans="1:30" x14ac:dyDescent="0.3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</row>
    <row r="695" spans="1:30" x14ac:dyDescent="0.3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</row>
    <row r="696" spans="1:30" x14ac:dyDescent="0.3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</row>
    <row r="697" spans="1:30" x14ac:dyDescent="0.3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</row>
    <row r="698" spans="1:30" x14ac:dyDescent="0.3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</row>
    <row r="699" spans="1:30" x14ac:dyDescent="0.3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</row>
    <row r="700" spans="1:30" x14ac:dyDescent="0.3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</row>
    <row r="701" spans="1:30" x14ac:dyDescent="0.3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</row>
    <row r="702" spans="1:30" x14ac:dyDescent="0.3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</row>
    <row r="703" spans="1:30" x14ac:dyDescent="0.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</row>
    <row r="704" spans="1:30" x14ac:dyDescent="0.3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</row>
    <row r="705" spans="1:30" x14ac:dyDescent="0.3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</row>
    <row r="706" spans="1:30" x14ac:dyDescent="0.3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</row>
    <row r="707" spans="1:30" x14ac:dyDescent="0.3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</row>
    <row r="708" spans="1:30" x14ac:dyDescent="0.3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</row>
    <row r="709" spans="1:30" x14ac:dyDescent="0.3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</row>
    <row r="710" spans="1:30" x14ac:dyDescent="0.3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</row>
    <row r="711" spans="1:30" x14ac:dyDescent="0.3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</row>
    <row r="712" spans="1:30" x14ac:dyDescent="0.3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</row>
    <row r="713" spans="1:30" x14ac:dyDescent="0.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</row>
    <row r="714" spans="1:30" x14ac:dyDescent="0.3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</row>
    <row r="715" spans="1:30" x14ac:dyDescent="0.3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</row>
    <row r="716" spans="1:30" x14ac:dyDescent="0.3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</row>
    <row r="717" spans="1:30" x14ac:dyDescent="0.3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</row>
    <row r="718" spans="1:30" x14ac:dyDescent="0.3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</row>
    <row r="719" spans="1:30" x14ac:dyDescent="0.3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</row>
    <row r="720" spans="1:30" x14ac:dyDescent="0.3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</row>
    <row r="721" spans="1:30" x14ac:dyDescent="0.3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</row>
    <row r="722" spans="1:30" x14ac:dyDescent="0.3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</row>
    <row r="723" spans="1:30" x14ac:dyDescent="0.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</row>
    <row r="724" spans="1:30" x14ac:dyDescent="0.3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</row>
    <row r="725" spans="1:30" x14ac:dyDescent="0.3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</row>
    <row r="726" spans="1:30" x14ac:dyDescent="0.3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</row>
    <row r="727" spans="1:30" x14ac:dyDescent="0.3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</row>
    <row r="728" spans="1:30" x14ac:dyDescent="0.3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</row>
    <row r="729" spans="1:30" x14ac:dyDescent="0.3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</row>
    <row r="730" spans="1:30" x14ac:dyDescent="0.3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</row>
    <row r="731" spans="1:30" x14ac:dyDescent="0.3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</row>
    <row r="732" spans="1:30" x14ac:dyDescent="0.3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</row>
    <row r="733" spans="1:30" x14ac:dyDescent="0.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</row>
    <row r="734" spans="1:30" x14ac:dyDescent="0.3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</row>
    <row r="735" spans="1:30" x14ac:dyDescent="0.3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</row>
    <row r="736" spans="1:30" x14ac:dyDescent="0.3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</row>
    <row r="737" spans="1:30" x14ac:dyDescent="0.3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</row>
    <row r="738" spans="1:30" x14ac:dyDescent="0.3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</row>
    <row r="739" spans="1:30" x14ac:dyDescent="0.3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</row>
    <row r="740" spans="1:30" x14ac:dyDescent="0.3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</row>
    <row r="741" spans="1:30" x14ac:dyDescent="0.3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</row>
    <row r="742" spans="1:30" x14ac:dyDescent="0.3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</row>
    <row r="743" spans="1:30" x14ac:dyDescent="0.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</row>
    <row r="744" spans="1:30" x14ac:dyDescent="0.3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</row>
    <row r="745" spans="1:30" x14ac:dyDescent="0.3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</row>
    <row r="746" spans="1:30" x14ac:dyDescent="0.3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</row>
    <row r="747" spans="1:30" x14ac:dyDescent="0.3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</row>
    <row r="748" spans="1:30" x14ac:dyDescent="0.3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</row>
    <row r="749" spans="1:30" x14ac:dyDescent="0.3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</row>
    <row r="750" spans="1:30" x14ac:dyDescent="0.3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</row>
    <row r="751" spans="1:30" x14ac:dyDescent="0.3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</row>
    <row r="752" spans="1:30" x14ac:dyDescent="0.3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</row>
    <row r="753" spans="1:30" x14ac:dyDescent="0.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</row>
    <row r="754" spans="1:30" x14ac:dyDescent="0.3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</row>
    <row r="755" spans="1:30" x14ac:dyDescent="0.3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</row>
    <row r="756" spans="1:30" x14ac:dyDescent="0.3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</row>
    <row r="757" spans="1:30" x14ac:dyDescent="0.3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</row>
    <row r="758" spans="1:30" x14ac:dyDescent="0.3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</row>
    <row r="759" spans="1:30" x14ac:dyDescent="0.3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</row>
    <row r="760" spans="1:30" x14ac:dyDescent="0.3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</row>
    <row r="761" spans="1:30" x14ac:dyDescent="0.3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</row>
    <row r="762" spans="1:30" x14ac:dyDescent="0.3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</row>
    <row r="763" spans="1:30" x14ac:dyDescent="0.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</row>
    <row r="764" spans="1:30" x14ac:dyDescent="0.3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</row>
    <row r="765" spans="1:30" x14ac:dyDescent="0.3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</row>
    <row r="766" spans="1:30" x14ac:dyDescent="0.3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</row>
    <row r="767" spans="1:30" x14ac:dyDescent="0.3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</row>
    <row r="768" spans="1:30" x14ac:dyDescent="0.3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</row>
    <row r="769" spans="1:30" x14ac:dyDescent="0.3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</row>
    <row r="770" spans="1:30" x14ac:dyDescent="0.3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</row>
    <row r="771" spans="1:30" x14ac:dyDescent="0.3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</row>
    <row r="772" spans="1:30" x14ac:dyDescent="0.3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</row>
    <row r="773" spans="1:30" x14ac:dyDescent="0.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</row>
    <row r="774" spans="1:30" x14ac:dyDescent="0.3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</row>
    <row r="775" spans="1:30" x14ac:dyDescent="0.3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</row>
    <row r="776" spans="1:30" x14ac:dyDescent="0.3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</row>
    <row r="777" spans="1:30" x14ac:dyDescent="0.3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</row>
    <row r="778" spans="1:30" x14ac:dyDescent="0.3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</row>
    <row r="779" spans="1:30" x14ac:dyDescent="0.3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</row>
    <row r="780" spans="1:30" x14ac:dyDescent="0.3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</row>
    <row r="781" spans="1:30" x14ac:dyDescent="0.3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</row>
    <row r="782" spans="1:30" x14ac:dyDescent="0.3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</row>
    <row r="783" spans="1:30" x14ac:dyDescent="0.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</row>
    <row r="784" spans="1:30" x14ac:dyDescent="0.3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</row>
    <row r="785" spans="1:30" x14ac:dyDescent="0.3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</row>
    <row r="786" spans="1:30" x14ac:dyDescent="0.3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</row>
    <row r="787" spans="1:30" x14ac:dyDescent="0.3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</row>
    <row r="788" spans="1:30" x14ac:dyDescent="0.3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</row>
    <row r="789" spans="1:30" x14ac:dyDescent="0.3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</row>
    <row r="790" spans="1:30" x14ac:dyDescent="0.3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</row>
    <row r="791" spans="1:30" x14ac:dyDescent="0.3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</row>
    <row r="792" spans="1:30" x14ac:dyDescent="0.3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</row>
    <row r="793" spans="1:30" x14ac:dyDescent="0.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</row>
    <row r="794" spans="1:30" x14ac:dyDescent="0.3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</row>
    <row r="795" spans="1:30" x14ac:dyDescent="0.3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</row>
    <row r="796" spans="1:30" x14ac:dyDescent="0.3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</row>
    <row r="797" spans="1:30" x14ac:dyDescent="0.3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</row>
    <row r="798" spans="1:30" x14ac:dyDescent="0.3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</row>
    <row r="799" spans="1:30" x14ac:dyDescent="0.3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</row>
    <row r="800" spans="1:30" x14ac:dyDescent="0.3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</row>
    <row r="801" spans="1:30" x14ac:dyDescent="0.3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</row>
    <row r="802" spans="1:30" x14ac:dyDescent="0.3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</row>
    <row r="803" spans="1:30" x14ac:dyDescent="0.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</row>
    <row r="804" spans="1:30" x14ac:dyDescent="0.3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</row>
    <row r="805" spans="1:30" x14ac:dyDescent="0.3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</row>
    <row r="806" spans="1:30" x14ac:dyDescent="0.3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</row>
    <row r="807" spans="1:30" x14ac:dyDescent="0.3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</row>
    <row r="808" spans="1:30" x14ac:dyDescent="0.3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</row>
    <row r="809" spans="1:30" x14ac:dyDescent="0.3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</row>
    <row r="810" spans="1:30" x14ac:dyDescent="0.3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</row>
    <row r="811" spans="1:30" x14ac:dyDescent="0.3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</row>
    <row r="812" spans="1:30" x14ac:dyDescent="0.3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</row>
    <row r="813" spans="1:30" x14ac:dyDescent="0.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</row>
    <row r="814" spans="1:30" x14ac:dyDescent="0.3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</row>
    <row r="815" spans="1:30" x14ac:dyDescent="0.3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</row>
    <row r="816" spans="1:30" x14ac:dyDescent="0.3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</row>
    <row r="817" spans="1:30" x14ac:dyDescent="0.3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</row>
    <row r="818" spans="1:30" x14ac:dyDescent="0.3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</row>
    <row r="819" spans="1:30" x14ac:dyDescent="0.3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</row>
    <row r="820" spans="1:30" x14ac:dyDescent="0.3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</row>
    <row r="821" spans="1:30" x14ac:dyDescent="0.3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</row>
    <row r="822" spans="1:30" x14ac:dyDescent="0.3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</row>
    <row r="823" spans="1:30" x14ac:dyDescent="0.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</row>
    <row r="824" spans="1:30" x14ac:dyDescent="0.3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</row>
    <row r="825" spans="1:30" x14ac:dyDescent="0.3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</row>
    <row r="826" spans="1:30" x14ac:dyDescent="0.3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</row>
    <row r="827" spans="1:30" x14ac:dyDescent="0.3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</row>
    <row r="828" spans="1:30" x14ac:dyDescent="0.3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</row>
    <row r="829" spans="1:30" x14ac:dyDescent="0.3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</row>
    <row r="830" spans="1:30" x14ac:dyDescent="0.3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</row>
    <row r="831" spans="1:30" x14ac:dyDescent="0.3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</row>
    <row r="832" spans="1:30" x14ac:dyDescent="0.3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</row>
    <row r="833" spans="1:30" x14ac:dyDescent="0.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</row>
    <row r="834" spans="1:30" x14ac:dyDescent="0.3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</row>
    <row r="835" spans="1:30" x14ac:dyDescent="0.3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</row>
    <row r="836" spans="1:30" x14ac:dyDescent="0.3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</row>
    <row r="837" spans="1:30" x14ac:dyDescent="0.3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</row>
    <row r="838" spans="1:30" x14ac:dyDescent="0.3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</row>
    <row r="839" spans="1:30" x14ac:dyDescent="0.3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</row>
    <row r="840" spans="1:30" x14ac:dyDescent="0.3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</row>
    <row r="841" spans="1:30" x14ac:dyDescent="0.3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</row>
    <row r="842" spans="1:30" x14ac:dyDescent="0.3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</row>
    <row r="843" spans="1:30" x14ac:dyDescent="0.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</row>
    <row r="844" spans="1:30" x14ac:dyDescent="0.3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</row>
    <row r="845" spans="1:30" x14ac:dyDescent="0.3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</row>
    <row r="846" spans="1:30" x14ac:dyDescent="0.3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</row>
    <row r="847" spans="1:30" x14ac:dyDescent="0.3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</row>
    <row r="848" spans="1:30" x14ac:dyDescent="0.3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</row>
    <row r="849" spans="1:30" x14ac:dyDescent="0.3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</row>
    <row r="850" spans="1:30" x14ac:dyDescent="0.3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</row>
    <row r="851" spans="1:30" x14ac:dyDescent="0.3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</row>
    <row r="852" spans="1:30" x14ac:dyDescent="0.3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</row>
    <row r="853" spans="1:30" x14ac:dyDescent="0.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</row>
    <row r="854" spans="1:30" x14ac:dyDescent="0.3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</row>
    <row r="855" spans="1:30" x14ac:dyDescent="0.3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</row>
    <row r="856" spans="1:30" x14ac:dyDescent="0.3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</row>
    <row r="857" spans="1:30" x14ac:dyDescent="0.3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</row>
    <row r="858" spans="1:30" x14ac:dyDescent="0.3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</row>
    <row r="859" spans="1:30" x14ac:dyDescent="0.3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</row>
    <row r="860" spans="1:30" x14ac:dyDescent="0.3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</row>
    <row r="861" spans="1:30" x14ac:dyDescent="0.3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</row>
    <row r="862" spans="1:30" x14ac:dyDescent="0.3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</row>
    <row r="863" spans="1:30" x14ac:dyDescent="0.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</row>
    <row r="864" spans="1:30" x14ac:dyDescent="0.3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</row>
    <row r="865" spans="1:30" x14ac:dyDescent="0.3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</row>
    <row r="866" spans="1:30" x14ac:dyDescent="0.3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</row>
    <row r="867" spans="1:30" x14ac:dyDescent="0.3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</row>
    <row r="868" spans="1:30" x14ac:dyDescent="0.3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</row>
    <row r="869" spans="1:30" x14ac:dyDescent="0.3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</row>
    <row r="870" spans="1:30" x14ac:dyDescent="0.3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</row>
    <row r="871" spans="1:30" x14ac:dyDescent="0.3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</row>
    <row r="872" spans="1:30" x14ac:dyDescent="0.3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</row>
    <row r="873" spans="1:30" x14ac:dyDescent="0.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</row>
    <row r="874" spans="1:30" x14ac:dyDescent="0.3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</row>
    <row r="875" spans="1:30" x14ac:dyDescent="0.3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</row>
    <row r="876" spans="1:30" x14ac:dyDescent="0.3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</row>
    <row r="877" spans="1:30" x14ac:dyDescent="0.3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</row>
    <row r="878" spans="1:30" x14ac:dyDescent="0.3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</row>
    <row r="879" spans="1:30" x14ac:dyDescent="0.3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</row>
    <row r="880" spans="1:30" x14ac:dyDescent="0.3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</row>
    <row r="881" spans="1:30" x14ac:dyDescent="0.3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</row>
    <row r="882" spans="1:30" x14ac:dyDescent="0.3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</row>
    <row r="883" spans="1:30" x14ac:dyDescent="0.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</row>
    <row r="884" spans="1:30" x14ac:dyDescent="0.3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</row>
    <row r="885" spans="1:30" x14ac:dyDescent="0.3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</row>
    <row r="886" spans="1:30" x14ac:dyDescent="0.3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</row>
    <row r="887" spans="1:30" x14ac:dyDescent="0.3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</row>
    <row r="888" spans="1:30" x14ac:dyDescent="0.3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</row>
    <row r="889" spans="1:30" x14ac:dyDescent="0.3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</row>
    <row r="890" spans="1:30" x14ac:dyDescent="0.3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</row>
    <row r="891" spans="1:30" x14ac:dyDescent="0.3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</row>
    <row r="892" spans="1:30" x14ac:dyDescent="0.3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</row>
    <row r="893" spans="1:30" x14ac:dyDescent="0.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</row>
    <row r="894" spans="1:30" x14ac:dyDescent="0.3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</row>
    <row r="895" spans="1:30" x14ac:dyDescent="0.3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</row>
    <row r="896" spans="1:30" x14ac:dyDescent="0.3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</row>
    <row r="897" spans="1:30" x14ac:dyDescent="0.3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</row>
    <row r="898" spans="1:30" x14ac:dyDescent="0.3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</row>
    <row r="899" spans="1:30" x14ac:dyDescent="0.3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</row>
    <row r="900" spans="1:30" x14ac:dyDescent="0.3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</row>
    <row r="901" spans="1:30" x14ac:dyDescent="0.3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</row>
    <row r="902" spans="1:30" x14ac:dyDescent="0.3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</row>
    <row r="903" spans="1:30" x14ac:dyDescent="0.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</row>
    <row r="904" spans="1:30" x14ac:dyDescent="0.3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</row>
    <row r="905" spans="1:30" x14ac:dyDescent="0.3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</row>
    <row r="906" spans="1:30" x14ac:dyDescent="0.3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</row>
    <row r="907" spans="1:30" x14ac:dyDescent="0.3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</row>
    <row r="908" spans="1:30" x14ac:dyDescent="0.3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</row>
    <row r="909" spans="1:30" x14ac:dyDescent="0.3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</row>
    <row r="910" spans="1:30" x14ac:dyDescent="0.3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</row>
    <row r="911" spans="1:30" x14ac:dyDescent="0.3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</row>
    <row r="912" spans="1:30" x14ac:dyDescent="0.3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</row>
    <row r="913" spans="1:30" x14ac:dyDescent="0.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</row>
    <row r="914" spans="1:30" x14ac:dyDescent="0.3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</row>
    <row r="915" spans="1:30" x14ac:dyDescent="0.3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</row>
    <row r="916" spans="1:30" x14ac:dyDescent="0.3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</row>
    <row r="917" spans="1:30" x14ac:dyDescent="0.3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</row>
    <row r="918" spans="1:30" x14ac:dyDescent="0.3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</row>
    <row r="919" spans="1:30" x14ac:dyDescent="0.3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</row>
    <row r="920" spans="1:30" x14ac:dyDescent="0.3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</row>
    <row r="921" spans="1:30" x14ac:dyDescent="0.3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</row>
    <row r="922" spans="1:30" x14ac:dyDescent="0.3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</row>
    <row r="923" spans="1:30" x14ac:dyDescent="0.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</row>
    <row r="924" spans="1:30" x14ac:dyDescent="0.3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</row>
    <row r="925" spans="1:30" x14ac:dyDescent="0.3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</row>
    <row r="926" spans="1:30" x14ac:dyDescent="0.3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</row>
    <row r="927" spans="1:30" x14ac:dyDescent="0.3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</row>
    <row r="928" spans="1:30" x14ac:dyDescent="0.3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</row>
    <row r="929" spans="1:30" x14ac:dyDescent="0.3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</row>
    <row r="930" spans="1:30" x14ac:dyDescent="0.3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</row>
    <row r="931" spans="1:30" x14ac:dyDescent="0.3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</row>
    <row r="932" spans="1:30" x14ac:dyDescent="0.3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</row>
    <row r="933" spans="1:30" x14ac:dyDescent="0.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</row>
    <row r="934" spans="1:30" x14ac:dyDescent="0.3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</row>
    <row r="935" spans="1:30" x14ac:dyDescent="0.3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</row>
    <row r="936" spans="1:30" x14ac:dyDescent="0.3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</row>
    <row r="937" spans="1:30" x14ac:dyDescent="0.3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</row>
    <row r="938" spans="1:30" x14ac:dyDescent="0.3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</row>
    <row r="939" spans="1:30" x14ac:dyDescent="0.3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</row>
    <row r="940" spans="1:30" x14ac:dyDescent="0.3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</row>
    <row r="941" spans="1:30" x14ac:dyDescent="0.3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</row>
    <row r="942" spans="1:30" x14ac:dyDescent="0.3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</row>
    <row r="943" spans="1:30" x14ac:dyDescent="0.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</row>
    <row r="944" spans="1:30" x14ac:dyDescent="0.3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</row>
    <row r="945" spans="1:30" x14ac:dyDescent="0.3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</row>
    <row r="946" spans="1:30" x14ac:dyDescent="0.3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</row>
    <row r="947" spans="1:30" x14ac:dyDescent="0.3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</row>
    <row r="948" spans="1:30" x14ac:dyDescent="0.3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</row>
    <row r="949" spans="1:30" x14ac:dyDescent="0.3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</row>
    <row r="950" spans="1:30" x14ac:dyDescent="0.3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</row>
    <row r="951" spans="1:30" x14ac:dyDescent="0.3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</row>
    <row r="952" spans="1:30" x14ac:dyDescent="0.3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</row>
    <row r="953" spans="1:30" x14ac:dyDescent="0.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</row>
    <row r="954" spans="1:30" x14ac:dyDescent="0.3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</row>
    <row r="955" spans="1:30" x14ac:dyDescent="0.3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</row>
    <row r="956" spans="1:30" x14ac:dyDescent="0.3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</row>
    <row r="957" spans="1:30" x14ac:dyDescent="0.3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</row>
    <row r="958" spans="1:30" x14ac:dyDescent="0.3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</row>
    <row r="959" spans="1:30" x14ac:dyDescent="0.3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</row>
    <row r="960" spans="1:30" x14ac:dyDescent="0.3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</row>
    <row r="961" spans="1:30" x14ac:dyDescent="0.3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</row>
    <row r="962" spans="1:30" x14ac:dyDescent="0.3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</row>
    <row r="963" spans="1:30" x14ac:dyDescent="0.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</row>
    <row r="964" spans="1:30" x14ac:dyDescent="0.3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</row>
    <row r="965" spans="1:30" x14ac:dyDescent="0.3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</row>
    <row r="966" spans="1:30" x14ac:dyDescent="0.3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</row>
    <row r="967" spans="1:30" x14ac:dyDescent="0.3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</row>
    <row r="968" spans="1:30" x14ac:dyDescent="0.3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</row>
    <row r="969" spans="1:30" x14ac:dyDescent="0.3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</row>
    <row r="970" spans="1:30" x14ac:dyDescent="0.3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</row>
    <row r="971" spans="1:30" x14ac:dyDescent="0.3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</row>
    <row r="972" spans="1:30" x14ac:dyDescent="0.3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</row>
    <row r="973" spans="1:30" x14ac:dyDescent="0.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</row>
    <row r="974" spans="1:30" x14ac:dyDescent="0.3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</row>
    <row r="975" spans="1:30" x14ac:dyDescent="0.3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</row>
    <row r="976" spans="1:30" x14ac:dyDescent="0.3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</row>
    <row r="977" spans="1:30" x14ac:dyDescent="0.3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</row>
    <row r="978" spans="1:30" x14ac:dyDescent="0.3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</row>
    <row r="979" spans="1:30" x14ac:dyDescent="0.3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</row>
    <row r="980" spans="1:30" x14ac:dyDescent="0.3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</row>
    <row r="981" spans="1:30" x14ac:dyDescent="0.3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</row>
    <row r="982" spans="1:30" x14ac:dyDescent="0.3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</row>
    <row r="983" spans="1:30" x14ac:dyDescent="0.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</row>
    <row r="984" spans="1:30" x14ac:dyDescent="0.3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</row>
    <row r="985" spans="1:30" x14ac:dyDescent="0.3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</row>
    <row r="986" spans="1:30" x14ac:dyDescent="0.3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</row>
    <row r="987" spans="1:30" x14ac:dyDescent="0.3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</row>
    <row r="988" spans="1:30" x14ac:dyDescent="0.3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</row>
    <row r="989" spans="1:30" x14ac:dyDescent="0.3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</row>
    <row r="990" spans="1:30" x14ac:dyDescent="0.3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</row>
    <row r="991" spans="1:30" x14ac:dyDescent="0.3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</row>
    <row r="992" spans="1:30" x14ac:dyDescent="0.3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</row>
    <row r="993" spans="1:30" x14ac:dyDescent="0.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</row>
    <row r="994" spans="1:30" x14ac:dyDescent="0.3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</row>
    <row r="995" spans="1:30" x14ac:dyDescent="0.3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</row>
    <row r="996" spans="1:30" x14ac:dyDescent="0.3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</row>
    <row r="997" spans="1:30" x14ac:dyDescent="0.3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</row>
    <row r="998" spans="1:30" x14ac:dyDescent="0.3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</row>
    <row r="999" spans="1:30" x14ac:dyDescent="0.3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</row>
    <row r="1000" spans="1:30" x14ac:dyDescent="0.3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</row>
    <row r="1001" spans="1:30" x14ac:dyDescent="0.3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</row>
    <row r="1002" spans="1:30" x14ac:dyDescent="0.3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</row>
    <row r="1003" spans="1:30" x14ac:dyDescent="0.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</row>
    <row r="1004" spans="1:30" x14ac:dyDescent="0.3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</row>
    <row r="1005" spans="1:30" x14ac:dyDescent="0.3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</row>
    <row r="1006" spans="1:30" x14ac:dyDescent="0.3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</row>
    <row r="1007" spans="1:30" x14ac:dyDescent="0.3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</row>
    <row r="1008" spans="1:30" x14ac:dyDescent="0.3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</row>
    <row r="1009" spans="1:30" x14ac:dyDescent="0.3">
      <c r="A1009" s="74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</row>
    <row r="1010" spans="1:30" x14ac:dyDescent="0.3">
      <c r="A1010" s="74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</row>
    <row r="1011" spans="1:30" x14ac:dyDescent="0.3">
      <c r="A1011" s="74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</row>
    <row r="1012" spans="1:30" x14ac:dyDescent="0.3">
      <c r="A1012" s="74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</row>
    <row r="1013" spans="1:30" x14ac:dyDescent="0.3">
      <c r="A1013" s="74"/>
      <c r="B1013" s="74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</row>
    <row r="1014" spans="1:30" x14ac:dyDescent="0.3">
      <c r="A1014" s="74"/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</row>
    <row r="1015" spans="1:30" x14ac:dyDescent="0.3">
      <c r="A1015" s="74"/>
      <c r="B1015" s="74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</row>
    <row r="1016" spans="1:30" x14ac:dyDescent="0.3">
      <c r="A1016" s="74"/>
      <c r="B1016" s="74"/>
      <c r="C1016" s="74"/>
      <c r="D1016" s="74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</row>
    <row r="1017" spans="1:30" x14ac:dyDescent="0.3">
      <c r="A1017" s="74"/>
      <c r="B1017" s="74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</row>
    <row r="1018" spans="1:30" x14ac:dyDescent="0.3">
      <c r="A1018" s="74"/>
      <c r="B1018" s="74"/>
      <c r="C1018" s="74"/>
      <c r="D1018" s="74"/>
      <c r="E1018" s="74"/>
      <c r="F1018" s="74"/>
      <c r="G1018" s="74"/>
      <c r="H1018" s="74"/>
      <c r="I1018" s="74"/>
      <c r="J1018" s="74"/>
      <c r="K1018" s="74"/>
      <c r="L1018" s="74"/>
      <c r="M1018" s="74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</row>
    <row r="1019" spans="1:30" x14ac:dyDescent="0.3">
      <c r="A1019" s="74"/>
      <c r="B1019" s="74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4"/>
      <c r="P1019" s="74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</row>
    <row r="1020" spans="1:30" x14ac:dyDescent="0.3">
      <c r="A1020" s="74"/>
      <c r="B1020" s="74"/>
      <c r="C1020" s="74"/>
      <c r="D1020" s="74"/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4"/>
      <c r="P1020" s="74"/>
      <c r="Q1020" s="74"/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  <c r="AC1020" s="74"/>
      <c r="AD1020" s="74"/>
    </row>
    <row r="1021" spans="1:30" x14ac:dyDescent="0.3">
      <c r="A1021" s="74"/>
      <c r="B1021" s="74"/>
      <c r="C1021" s="74"/>
      <c r="D1021" s="74"/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4"/>
      <c r="P1021" s="74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</row>
    <row r="1022" spans="1:30" x14ac:dyDescent="0.3">
      <c r="A1022" s="74"/>
      <c r="B1022" s="74"/>
      <c r="C1022" s="74"/>
      <c r="D1022" s="74"/>
      <c r="E1022" s="74"/>
      <c r="F1022" s="74"/>
      <c r="G1022" s="74"/>
      <c r="H1022" s="74"/>
      <c r="I1022" s="74"/>
      <c r="J1022" s="74"/>
      <c r="K1022" s="74"/>
      <c r="L1022" s="74"/>
      <c r="M1022" s="74"/>
      <c r="N1022" s="74"/>
      <c r="O1022" s="74"/>
      <c r="P1022" s="74"/>
      <c r="Q1022" s="74"/>
      <c r="R1022" s="74"/>
      <c r="S1022" s="74"/>
      <c r="T1022" s="74"/>
      <c r="U1022" s="74"/>
      <c r="V1022" s="74"/>
      <c r="W1022" s="74"/>
      <c r="X1022" s="74"/>
      <c r="Y1022" s="74"/>
      <c r="Z1022" s="74"/>
      <c r="AA1022" s="74"/>
      <c r="AB1022" s="74"/>
      <c r="AC1022" s="74"/>
      <c r="AD1022" s="74"/>
    </row>
    <row r="1023" spans="1:30" x14ac:dyDescent="0.3">
      <c r="A1023" s="74"/>
      <c r="B1023" s="74"/>
      <c r="C1023" s="74"/>
      <c r="D1023" s="74"/>
      <c r="E1023" s="74"/>
      <c r="F1023" s="74"/>
      <c r="G1023" s="74"/>
      <c r="H1023" s="74"/>
      <c r="I1023" s="74"/>
      <c r="J1023" s="74"/>
      <c r="K1023" s="74"/>
      <c r="L1023" s="74"/>
      <c r="M1023" s="74"/>
      <c r="N1023" s="74"/>
      <c r="O1023" s="74"/>
      <c r="P1023" s="74"/>
      <c r="Q1023" s="74"/>
      <c r="R1023" s="74"/>
      <c r="S1023" s="74"/>
      <c r="T1023" s="74"/>
      <c r="U1023" s="74"/>
      <c r="V1023" s="74"/>
      <c r="W1023" s="74"/>
      <c r="X1023" s="74"/>
      <c r="Y1023" s="74"/>
      <c r="Z1023" s="74"/>
      <c r="AA1023" s="74"/>
      <c r="AB1023" s="74"/>
      <c r="AC1023" s="74"/>
      <c r="AD1023" s="74"/>
    </row>
    <row r="1024" spans="1:30" x14ac:dyDescent="0.3">
      <c r="A1024" s="74"/>
      <c r="B1024" s="74"/>
      <c r="C1024" s="74"/>
      <c r="D1024" s="74"/>
      <c r="E1024" s="74"/>
      <c r="F1024" s="74"/>
      <c r="G1024" s="74"/>
      <c r="H1024" s="74"/>
      <c r="I1024" s="74"/>
      <c r="J1024" s="74"/>
      <c r="K1024" s="74"/>
      <c r="L1024" s="74"/>
      <c r="M1024" s="74"/>
      <c r="N1024" s="74"/>
      <c r="O1024" s="74"/>
      <c r="P1024" s="74"/>
      <c r="Q1024" s="74"/>
      <c r="R1024" s="74"/>
      <c r="S1024" s="74"/>
      <c r="T1024" s="74"/>
      <c r="U1024" s="74"/>
      <c r="V1024" s="74"/>
      <c r="W1024" s="74"/>
      <c r="X1024" s="74"/>
      <c r="Y1024" s="74"/>
      <c r="Z1024" s="74"/>
      <c r="AA1024" s="74"/>
      <c r="AB1024" s="74"/>
      <c r="AC1024" s="74"/>
      <c r="AD1024" s="74"/>
    </row>
    <row r="1025" spans="1:30" x14ac:dyDescent="0.3">
      <c r="A1025" s="74"/>
      <c r="B1025" s="74"/>
      <c r="C1025" s="74"/>
      <c r="D1025" s="74"/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4"/>
      <c r="P1025" s="74"/>
      <c r="Q1025" s="74"/>
      <c r="R1025" s="74"/>
      <c r="S1025" s="74"/>
      <c r="T1025" s="74"/>
      <c r="U1025" s="74"/>
      <c r="V1025" s="74"/>
      <c r="W1025" s="74"/>
      <c r="X1025" s="74"/>
      <c r="Y1025" s="74"/>
      <c r="Z1025" s="74"/>
      <c r="AA1025" s="74"/>
      <c r="AB1025" s="74"/>
      <c r="AC1025" s="74"/>
      <c r="AD1025" s="74"/>
    </row>
    <row r="1026" spans="1:30" x14ac:dyDescent="0.3">
      <c r="A1026" s="74"/>
      <c r="B1026" s="74"/>
      <c r="C1026" s="74"/>
      <c r="D1026" s="74"/>
      <c r="E1026" s="74"/>
      <c r="F1026" s="74"/>
      <c r="G1026" s="74"/>
      <c r="H1026" s="74"/>
      <c r="I1026" s="74"/>
      <c r="J1026" s="74"/>
      <c r="K1026" s="74"/>
      <c r="L1026" s="74"/>
      <c r="M1026" s="74"/>
      <c r="N1026" s="74"/>
      <c r="O1026" s="74"/>
      <c r="P1026" s="74"/>
      <c r="Q1026" s="74"/>
      <c r="R1026" s="74"/>
      <c r="S1026" s="74"/>
      <c r="T1026" s="74"/>
      <c r="U1026" s="74"/>
      <c r="V1026" s="74"/>
      <c r="W1026" s="74"/>
      <c r="X1026" s="74"/>
      <c r="Y1026" s="74"/>
      <c r="Z1026" s="74"/>
      <c r="AA1026" s="74"/>
      <c r="AB1026" s="74"/>
      <c r="AC1026" s="74"/>
      <c r="AD1026" s="74"/>
    </row>
    <row r="1027" spans="1:30" x14ac:dyDescent="0.3">
      <c r="A1027" s="74"/>
      <c r="B1027" s="74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4"/>
      <c r="P1027" s="74"/>
      <c r="Q1027" s="74"/>
      <c r="R1027" s="74"/>
      <c r="S1027" s="74"/>
      <c r="T1027" s="74"/>
      <c r="U1027" s="74"/>
      <c r="V1027" s="74"/>
      <c r="W1027" s="74"/>
      <c r="X1027" s="74"/>
      <c r="Y1027" s="74"/>
      <c r="Z1027" s="74"/>
      <c r="AA1027" s="74"/>
      <c r="AB1027" s="74"/>
      <c r="AC1027" s="74"/>
      <c r="AD1027" s="74"/>
    </row>
    <row r="1028" spans="1:30" x14ac:dyDescent="0.3">
      <c r="A1028" s="74"/>
      <c r="B1028" s="74"/>
      <c r="C1028" s="74"/>
      <c r="D1028" s="74"/>
      <c r="E1028" s="74"/>
      <c r="F1028" s="74"/>
      <c r="G1028" s="74"/>
      <c r="H1028" s="74"/>
      <c r="I1028" s="74"/>
      <c r="J1028" s="74"/>
      <c r="K1028" s="74"/>
      <c r="L1028" s="74"/>
      <c r="M1028" s="74"/>
      <c r="N1028" s="74"/>
      <c r="O1028" s="74"/>
      <c r="P1028" s="74"/>
      <c r="Q1028" s="74"/>
      <c r="R1028" s="74"/>
      <c r="S1028" s="74"/>
      <c r="T1028" s="74"/>
      <c r="U1028" s="74"/>
      <c r="V1028" s="74"/>
      <c r="W1028" s="74"/>
      <c r="X1028" s="74"/>
      <c r="Y1028" s="74"/>
      <c r="Z1028" s="74"/>
      <c r="AA1028" s="74"/>
      <c r="AB1028" s="74"/>
      <c r="AC1028" s="74"/>
      <c r="AD1028" s="74"/>
    </row>
    <row r="1029" spans="1:30" x14ac:dyDescent="0.3">
      <c r="A1029" s="74"/>
      <c r="B1029" s="74"/>
      <c r="C1029" s="74"/>
      <c r="D1029" s="74"/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4"/>
      <c r="P1029" s="74"/>
      <c r="Q1029" s="74"/>
      <c r="R1029" s="74"/>
      <c r="S1029" s="74"/>
      <c r="T1029" s="74"/>
      <c r="U1029" s="74"/>
      <c r="V1029" s="74"/>
      <c r="W1029" s="74"/>
      <c r="X1029" s="74"/>
      <c r="Y1029" s="74"/>
      <c r="Z1029" s="74"/>
      <c r="AA1029" s="74"/>
      <c r="AB1029" s="74"/>
      <c r="AC1029" s="74"/>
      <c r="AD1029" s="74"/>
    </row>
    <row r="1030" spans="1:30" x14ac:dyDescent="0.3">
      <c r="A1030" s="74"/>
      <c r="B1030" s="74"/>
      <c r="C1030" s="74"/>
      <c r="D1030" s="74"/>
      <c r="E1030" s="74"/>
      <c r="F1030" s="74"/>
      <c r="G1030" s="74"/>
      <c r="H1030" s="74"/>
      <c r="I1030" s="74"/>
      <c r="J1030" s="74"/>
      <c r="K1030" s="74"/>
      <c r="L1030" s="74"/>
      <c r="M1030" s="74"/>
      <c r="N1030" s="74"/>
      <c r="O1030" s="74"/>
      <c r="P1030" s="74"/>
      <c r="Q1030" s="74"/>
      <c r="R1030" s="74"/>
      <c r="S1030" s="74"/>
      <c r="T1030" s="74"/>
      <c r="U1030" s="74"/>
      <c r="V1030" s="74"/>
      <c r="W1030" s="74"/>
      <c r="X1030" s="74"/>
      <c r="Y1030" s="74"/>
      <c r="Z1030" s="74"/>
      <c r="AA1030" s="74"/>
      <c r="AB1030" s="74"/>
      <c r="AC1030" s="74"/>
      <c r="AD1030" s="74"/>
    </row>
    <row r="1031" spans="1:30" x14ac:dyDescent="0.3">
      <c r="A1031" s="74"/>
      <c r="B1031" s="74"/>
      <c r="C1031" s="74"/>
      <c r="D1031" s="74"/>
      <c r="E1031" s="74"/>
      <c r="F1031" s="74"/>
      <c r="G1031" s="74"/>
      <c r="H1031" s="74"/>
      <c r="I1031" s="74"/>
      <c r="J1031" s="74"/>
      <c r="K1031" s="74"/>
      <c r="L1031" s="74"/>
      <c r="M1031" s="74"/>
      <c r="N1031" s="74"/>
      <c r="O1031" s="74"/>
      <c r="P1031" s="74"/>
      <c r="Q1031" s="74"/>
      <c r="R1031" s="74"/>
      <c r="S1031" s="74"/>
      <c r="T1031" s="74"/>
      <c r="U1031" s="74"/>
      <c r="V1031" s="74"/>
      <c r="W1031" s="74"/>
      <c r="X1031" s="74"/>
      <c r="Y1031" s="74"/>
      <c r="Z1031" s="74"/>
      <c r="AA1031" s="74"/>
      <c r="AB1031" s="74"/>
      <c r="AC1031" s="74"/>
      <c r="AD1031" s="74"/>
    </row>
    <row r="1032" spans="1:30" x14ac:dyDescent="0.3">
      <c r="A1032" s="74"/>
      <c r="B1032" s="74"/>
      <c r="C1032" s="74"/>
      <c r="D1032" s="74"/>
      <c r="E1032" s="74"/>
      <c r="F1032" s="74"/>
      <c r="G1032" s="74"/>
      <c r="H1032" s="74"/>
      <c r="I1032" s="74"/>
      <c r="J1032" s="74"/>
      <c r="K1032" s="74"/>
      <c r="L1032" s="74"/>
      <c r="M1032" s="74"/>
      <c r="N1032" s="74"/>
      <c r="O1032" s="74"/>
      <c r="P1032" s="74"/>
      <c r="Q1032" s="74"/>
      <c r="R1032" s="74"/>
      <c r="S1032" s="74"/>
      <c r="T1032" s="74"/>
      <c r="U1032" s="74"/>
      <c r="V1032" s="74"/>
      <c r="W1032" s="74"/>
      <c r="X1032" s="74"/>
      <c r="Y1032" s="74"/>
      <c r="Z1032" s="74"/>
      <c r="AA1032" s="74"/>
      <c r="AB1032" s="74"/>
      <c r="AC1032" s="74"/>
      <c r="AD1032" s="74"/>
    </row>
    <row r="1033" spans="1:30" x14ac:dyDescent="0.3">
      <c r="A1033" s="74"/>
      <c r="B1033" s="74"/>
      <c r="C1033" s="74"/>
      <c r="D1033" s="74"/>
      <c r="E1033" s="74"/>
      <c r="F1033" s="74"/>
      <c r="G1033" s="74"/>
      <c r="H1033" s="74"/>
      <c r="I1033" s="74"/>
      <c r="J1033" s="74"/>
      <c r="K1033" s="74"/>
      <c r="L1033" s="74"/>
      <c r="M1033" s="74"/>
      <c r="N1033" s="74"/>
      <c r="O1033" s="74"/>
      <c r="P1033" s="74"/>
      <c r="Q1033" s="74"/>
      <c r="R1033" s="74"/>
      <c r="S1033" s="74"/>
      <c r="T1033" s="74"/>
      <c r="U1033" s="74"/>
      <c r="V1033" s="74"/>
      <c r="W1033" s="74"/>
      <c r="X1033" s="74"/>
      <c r="Y1033" s="74"/>
      <c r="Z1033" s="74"/>
      <c r="AA1033" s="74"/>
      <c r="AB1033" s="74"/>
      <c r="AC1033" s="74"/>
      <c r="AD1033" s="74"/>
    </row>
    <row r="1034" spans="1:30" x14ac:dyDescent="0.3">
      <c r="A1034" s="74"/>
      <c r="B1034" s="74"/>
      <c r="C1034" s="74"/>
      <c r="D1034" s="74"/>
      <c r="E1034" s="74"/>
      <c r="F1034" s="74"/>
      <c r="G1034" s="74"/>
      <c r="H1034" s="74"/>
      <c r="I1034" s="74"/>
      <c r="J1034" s="74"/>
      <c r="K1034" s="74"/>
      <c r="L1034" s="74"/>
      <c r="M1034" s="74"/>
      <c r="N1034" s="74"/>
      <c r="O1034" s="74"/>
      <c r="P1034" s="74"/>
      <c r="Q1034" s="74"/>
      <c r="R1034" s="74"/>
      <c r="S1034" s="74"/>
      <c r="T1034" s="74"/>
      <c r="U1034" s="74"/>
      <c r="V1034" s="74"/>
      <c r="W1034" s="74"/>
      <c r="X1034" s="74"/>
      <c r="Y1034" s="74"/>
      <c r="Z1034" s="74"/>
      <c r="AA1034" s="74"/>
      <c r="AB1034" s="74"/>
      <c r="AC1034" s="74"/>
      <c r="AD1034" s="74"/>
    </row>
    <row r="1035" spans="1:30" x14ac:dyDescent="0.3">
      <c r="A1035" s="74"/>
      <c r="B1035" s="74"/>
      <c r="C1035" s="74"/>
      <c r="D1035" s="74"/>
      <c r="E1035" s="74"/>
      <c r="F1035" s="74"/>
      <c r="G1035" s="74"/>
      <c r="H1035" s="74"/>
      <c r="I1035" s="74"/>
      <c r="J1035" s="74"/>
      <c r="K1035" s="74"/>
      <c r="L1035" s="74"/>
      <c r="M1035" s="74"/>
      <c r="N1035" s="74"/>
      <c r="O1035" s="74"/>
      <c r="P1035" s="74"/>
      <c r="Q1035" s="74"/>
      <c r="R1035" s="74"/>
      <c r="S1035" s="74"/>
      <c r="T1035" s="74"/>
      <c r="U1035" s="74"/>
      <c r="V1035" s="74"/>
      <c r="W1035" s="74"/>
      <c r="X1035" s="74"/>
      <c r="Y1035" s="74"/>
      <c r="Z1035" s="74"/>
      <c r="AA1035" s="74"/>
      <c r="AB1035" s="74"/>
      <c r="AC1035" s="74"/>
      <c r="AD1035" s="74"/>
    </row>
    <row r="1036" spans="1:30" x14ac:dyDescent="0.3">
      <c r="A1036" s="74"/>
      <c r="B1036" s="74"/>
      <c r="C1036" s="74"/>
      <c r="D1036" s="74"/>
      <c r="E1036" s="74"/>
      <c r="F1036" s="74"/>
      <c r="G1036" s="74"/>
      <c r="H1036" s="74"/>
      <c r="I1036" s="74"/>
      <c r="J1036" s="74"/>
      <c r="K1036" s="74"/>
      <c r="L1036" s="74"/>
      <c r="M1036" s="74"/>
      <c r="N1036" s="74"/>
      <c r="O1036" s="74"/>
      <c r="P1036" s="74"/>
      <c r="Q1036" s="74"/>
      <c r="R1036" s="74"/>
      <c r="S1036" s="74"/>
      <c r="T1036" s="74"/>
      <c r="U1036" s="74"/>
      <c r="V1036" s="74"/>
      <c r="W1036" s="74"/>
      <c r="X1036" s="74"/>
      <c r="Y1036" s="74"/>
      <c r="Z1036" s="74"/>
      <c r="AA1036" s="74"/>
      <c r="AB1036" s="74"/>
      <c r="AC1036" s="74"/>
      <c r="AD1036" s="74"/>
    </row>
    <row r="1037" spans="1:30" x14ac:dyDescent="0.3">
      <c r="A1037" s="74"/>
      <c r="B1037" s="74"/>
      <c r="C1037" s="74"/>
      <c r="D1037" s="74"/>
      <c r="E1037" s="74"/>
      <c r="F1037" s="74"/>
      <c r="G1037" s="74"/>
      <c r="H1037" s="74"/>
      <c r="I1037" s="74"/>
      <c r="J1037" s="74"/>
      <c r="K1037" s="74"/>
      <c r="L1037" s="74"/>
      <c r="M1037" s="74"/>
      <c r="N1037" s="74"/>
      <c r="O1037" s="74"/>
      <c r="P1037" s="74"/>
      <c r="Q1037" s="74"/>
      <c r="R1037" s="74"/>
      <c r="S1037" s="74"/>
      <c r="T1037" s="74"/>
      <c r="U1037" s="74"/>
      <c r="V1037" s="74"/>
      <c r="W1037" s="74"/>
      <c r="X1037" s="74"/>
      <c r="Y1037" s="74"/>
      <c r="Z1037" s="74"/>
      <c r="AA1037" s="74"/>
      <c r="AB1037" s="74"/>
      <c r="AC1037" s="74"/>
      <c r="AD1037" s="74"/>
    </row>
    <row r="1038" spans="1:30" x14ac:dyDescent="0.3">
      <c r="A1038" s="74"/>
      <c r="B1038" s="74"/>
      <c r="C1038" s="74"/>
      <c r="D1038" s="74"/>
      <c r="E1038" s="74"/>
      <c r="F1038" s="74"/>
      <c r="G1038" s="74"/>
      <c r="H1038" s="74"/>
      <c r="I1038" s="74"/>
      <c r="J1038" s="74"/>
      <c r="K1038" s="74"/>
      <c r="L1038" s="74"/>
      <c r="M1038" s="74"/>
      <c r="N1038" s="74"/>
      <c r="O1038" s="74"/>
      <c r="P1038" s="74"/>
      <c r="Q1038" s="74"/>
      <c r="R1038" s="74"/>
      <c r="S1038" s="74"/>
      <c r="T1038" s="74"/>
      <c r="U1038" s="74"/>
      <c r="V1038" s="74"/>
      <c r="W1038" s="74"/>
      <c r="X1038" s="74"/>
      <c r="Y1038" s="74"/>
      <c r="Z1038" s="74"/>
      <c r="AA1038" s="74"/>
      <c r="AB1038" s="74"/>
      <c r="AC1038" s="74"/>
      <c r="AD1038" s="74"/>
    </row>
    <row r="1039" spans="1:30" x14ac:dyDescent="0.3">
      <c r="A1039" s="74"/>
      <c r="B1039" s="74"/>
      <c r="C1039" s="74"/>
      <c r="D1039" s="74"/>
      <c r="E1039" s="74"/>
      <c r="F1039" s="74"/>
      <c r="G1039" s="74"/>
      <c r="H1039" s="74"/>
      <c r="I1039" s="74"/>
      <c r="J1039" s="74"/>
      <c r="K1039" s="74"/>
      <c r="L1039" s="74"/>
      <c r="M1039" s="74"/>
      <c r="N1039" s="74"/>
      <c r="O1039" s="74"/>
      <c r="P1039" s="74"/>
      <c r="Q1039" s="74"/>
      <c r="R1039" s="74"/>
      <c r="S1039" s="74"/>
      <c r="T1039" s="74"/>
      <c r="U1039" s="74"/>
      <c r="V1039" s="74"/>
      <c r="W1039" s="74"/>
      <c r="X1039" s="74"/>
      <c r="Y1039" s="74"/>
      <c r="Z1039" s="74"/>
      <c r="AA1039" s="74"/>
      <c r="AB1039" s="74"/>
      <c r="AC1039" s="74"/>
      <c r="AD1039" s="74"/>
    </row>
    <row r="1040" spans="1:30" x14ac:dyDescent="0.3">
      <c r="A1040" s="74"/>
      <c r="B1040" s="74"/>
      <c r="C1040" s="74"/>
      <c r="D1040" s="74"/>
      <c r="E1040" s="74"/>
      <c r="F1040" s="74"/>
      <c r="G1040" s="74"/>
      <c r="H1040" s="74"/>
      <c r="I1040" s="74"/>
      <c r="J1040" s="74"/>
      <c r="K1040" s="74"/>
      <c r="L1040" s="74"/>
      <c r="M1040" s="74"/>
      <c r="N1040" s="74"/>
      <c r="O1040" s="74"/>
      <c r="P1040" s="74"/>
      <c r="Q1040" s="74"/>
      <c r="R1040" s="74"/>
      <c r="S1040" s="74"/>
      <c r="T1040" s="74"/>
      <c r="U1040" s="74"/>
      <c r="V1040" s="74"/>
      <c r="W1040" s="74"/>
      <c r="X1040" s="74"/>
      <c r="Y1040" s="74"/>
      <c r="Z1040" s="74"/>
      <c r="AA1040" s="74"/>
      <c r="AB1040" s="74"/>
      <c r="AC1040" s="74"/>
      <c r="AD1040" s="74"/>
    </row>
    <row r="1041" spans="1:30" x14ac:dyDescent="0.3">
      <c r="A1041" s="74"/>
      <c r="B1041" s="74"/>
      <c r="C1041" s="74"/>
      <c r="D1041" s="74"/>
      <c r="E1041" s="74"/>
      <c r="F1041" s="74"/>
      <c r="G1041" s="74"/>
      <c r="H1041" s="74"/>
      <c r="I1041" s="74"/>
      <c r="J1041" s="74"/>
      <c r="K1041" s="74"/>
      <c r="L1041" s="74"/>
      <c r="M1041" s="74"/>
      <c r="N1041" s="74"/>
      <c r="O1041" s="74"/>
      <c r="P1041" s="74"/>
      <c r="Q1041" s="74"/>
      <c r="R1041" s="74"/>
      <c r="S1041" s="74"/>
      <c r="T1041" s="74"/>
      <c r="U1041" s="74"/>
      <c r="V1041" s="74"/>
      <c r="W1041" s="74"/>
      <c r="X1041" s="74"/>
      <c r="Y1041" s="74"/>
      <c r="Z1041" s="74"/>
      <c r="AA1041" s="74"/>
      <c r="AB1041" s="74"/>
      <c r="AC1041" s="74"/>
      <c r="AD1041" s="74"/>
    </row>
    <row r="1042" spans="1:30" x14ac:dyDescent="0.3">
      <c r="A1042" s="74"/>
      <c r="B1042" s="74"/>
      <c r="C1042" s="74"/>
      <c r="D1042" s="74"/>
      <c r="E1042" s="74"/>
      <c r="F1042" s="74"/>
      <c r="G1042" s="74"/>
      <c r="H1042" s="74"/>
      <c r="I1042" s="74"/>
      <c r="J1042" s="74"/>
      <c r="K1042" s="74"/>
      <c r="L1042" s="74"/>
      <c r="M1042" s="74"/>
      <c r="N1042" s="74"/>
      <c r="O1042" s="74"/>
      <c r="P1042" s="74"/>
      <c r="Q1042" s="74"/>
      <c r="R1042" s="74"/>
      <c r="S1042" s="74"/>
      <c r="T1042" s="74"/>
      <c r="U1042" s="74"/>
      <c r="V1042" s="74"/>
      <c r="W1042" s="74"/>
      <c r="X1042" s="74"/>
      <c r="Y1042" s="74"/>
      <c r="Z1042" s="74"/>
      <c r="AA1042" s="74"/>
      <c r="AB1042" s="74"/>
      <c r="AC1042" s="74"/>
      <c r="AD1042" s="74"/>
    </row>
    <row r="1043" spans="1:30" x14ac:dyDescent="0.3">
      <c r="A1043" s="74"/>
      <c r="B1043" s="74"/>
      <c r="C1043" s="74"/>
      <c r="D1043" s="74"/>
      <c r="E1043" s="74"/>
      <c r="F1043" s="74"/>
      <c r="G1043" s="74"/>
      <c r="H1043" s="74"/>
      <c r="I1043" s="74"/>
      <c r="J1043" s="74"/>
      <c r="K1043" s="74"/>
      <c r="L1043" s="74"/>
      <c r="M1043" s="74"/>
      <c r="N1043" s="74"/>
      <c r="O1043" s="74"/>
      <c r="P1043" s="74"/>
      <c r="Q1043" s="74"/>
      <c r="R1043" s="74"/>
      <c r="S1043" s="74"/>
      <c r="T1043" s="74"/>
      <c r="U1043" s="74"/>
      <c r="V1043" s="74"/>
      <c r="W1043" s="74"/>
      <c r="X1043" s="74"/>
      <c r="Y1043" s="74"/>
      <c r="Z1043" s="74"/>
      <c r="AA1043" s="74"/>
      <c r="AB1043" s="74"/>
      <c r="AC1043" s="74"/>
      <c r="AD1043" s="74"/>
    </row>
    <row r="1044" spans="1:30" x14ac:dyDescent="0.3">
      <c r="A1044" s="74"/>
      <c r="B1044" s="74"/>
      <c r="C1044" s="74"/>
      <c r="D1044" s="74"/>
      <c r="E1044" s="74"/>
      <c r="F1044" s="74"/>
      <c r="G1044" s="74"/>
      <c r="H1044" s="74"/>
      <c r="I1044" s="74"/>
      <c r="J1044" s="74"/>
      <c r="K1044" s="74"/>
      <c r="L1044" s="74"/>
      <c r="M1044" s="74"/>
      <c r="N1044" s="74"/>
      <c r="O1044" s="74"/>
      <c r="P1044" s="74"/>
      <c r="Q1044" s="74"/>
      <c r="R1044" s="74"/>
      <c r="S1044" s="74"/>
      <c r="T1044" s="74"/>
      <c r="U1044" s="74"/>
      <c r="V1044" s="74"/>
      <c r="W1044" s="74"/>
      <c r="X1044" s="74"/>
      <c r="Y1044" s="74"/>
      <c r="Z1044" s="74"/>
      <c r="AA1044" s="74"/>
      <c r="AB1044" s="74"/>
      <c r="AC1044" s="74"/>
      <c r="AD1044" s="74"/>
    </row>
    <row r="1045" spans="1:30" x14ac:dyDescent="0.3">
      <c r="A1045" s="74"/>
      <c r="B1045" s="74"/>
      <c r="C1045" s="74"/>
      <c r="D1045" s="74"/>
      <c r="E1045" s="74"/>
      <c r="F1045" s="74"/>
      <c r="G1045" s="74"/>
      <c r="H1045" s="74"/>
      <c r="I1045" s="74"/>
      <c r="J1045" s="74"/>
      <c r="K1045" s="74"/>
      <c r="L1045" s="74"/>
      <c r="M1045" s="74"/>
      <c r="N1045" s="74"/>
      <c r="O1045" s="74"/>
      <c r="P1045" s="74"/>
      <c r="Q1045" s="74"/>
      <c r="R1045" s="74"/>
      <c r="S1045" s="74"/>
      <c r="T1045" s="74"/>
      <c r="U1045" s="74"/>
      <c r="V1045" s="74"/>
      <c r="W1045" s="74"/>
      <c r="X1045" s="74"/>
      <c r="Y1045" s="74"/>
      <c r="Z1045" s="74"/>
      <c r="AA1045" s="74"/>
      <c r="AB1045" s="74"/>
      <c r="AC1045" s="74"/>
      <c r="AD1045" s="74"/>
    </row>
    <row r="1046" spans="1:30" x14ac:dyDescent="0.3">
      <c r="A1046" s="74"/>
      <c r="B1046" s="74"/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4"/>
      <c r="P1046" s="74"/>
      <c r="Q1046" s="74"/>
      <c r="R1046" s="74"/>
      <c r="S1046" s="74"/>
      <c r="T1046" s="74"/>
      <c r="U1046" s="74"/>
      <c r="V1046" s="74"/>
      <c r="W1046" s="74"/>
      <c r="X1046" s="74"/>
      <c r="Y1046" s="74"/>
      <c r="Z1046" s="74"/>
      <c r="AA1046" s="74"/>
      <c r="AB1046" s="74"/>
      <c r="AC1046" s="74"/>
      <c r="AD1046" s="74"/>
    </row>
    <row r="1047" spans="1:30" x14ac:dyDescent="0.3">
      <c r="A1047" s="74"/>
      <c r="B1047" s="74"/>
      <c r="C1047" s="74"/>
      <c r="D1047" s="74"/>
      <c r="E1047" s="74"/>
      <c r="F1047" s="74"/>
      <c r="G1047" s="74"/>
      <c r="H1047" s="74"/>
      <c r="I1047" s="74"/>
      <c r="J1047" s="74"/>
      <c r="K1047" s="74"/>
      <c r="L1047" s="74"/>
      <c r="M1047" s="74"/>
      <c r="N1047" s="74"/>
      <c r="O1047" s="74"/>
      <c r="P1047" s="74"/>
      <c r="Q1047" s="74"/>
      <c r="R1047" s="74"/>
      <c r="S1047" s="74"/>
      <c r="T1047" s="74"/>
      <c r="U1047" s="74"/>
      <c r="V1047" s="74"/>
      <c r="W1047" s="74"/>
      <c r="X1047" s="74"/>
      <c r="Y1047" s="74"/>
      <c r="Z1047" s="74"/>
      <c r="AA1047" s="74"/>
      <c r="AB1047" s="74"/>
      <c r="AC1047" s="74"/>
      <c r="AD1047" s="74"/>
    </row>
    <row r="1048" spans="1:30" x14ac:dyDescent="0.3">
      <c r="A1048" s="74"/>
      <c r="B1048" s="74"/>
      <c r="C1048" s="74"/>
      <c r="D1048" s="74"/>
      <c r="E1048" s="74"/>
      <c r="F1048" s="74"/>
      <c r="G1048" s="74"/>
      <c r="H1048" s="74"/>
      <c r="I1048" s="74"/>
      <c r="J1048" s="74"/>
      <c r="K1048" s="74"/>
      <c r="L1048" s="74"/>
      <c r="M1048" s="74"/>
      <c r="N1048" s="74"/>
      <c r="O1048" s="74"/>
      <c r="P1048" s="74"/>
      <c r="Q1048" s="74"/>
      <c r="R1048" s="74"/>
      <c r="S1048" s="74"/>
      <c r="T1048" s="74"/>
      <c r="U1048" s="74"/>
      <c r="V1048" s="74"/>
      <c r="W1048" s="74"/>
      <c r="X1048" s="74"/>
      <c r="Y1048" s="74"/>
      <c r="Z1048" s="74"/>
      <c r="AA1048" s="74"/>
      <c r="AB1048" s="74"/>
      <c r="AC1048" s="74"/>
      <c r="AD1048" s="74"/>
    </row>
    <row r="1049" spans="1:30" x14ac:dyDescent="0.3">
      <c r="A1049" s="74"/>
      <c r="B1049" s="74"/>
      <c r="C1049" s="74"/>
      <c r="D1049" s="74"/>
      <c r="E1049" s="74"/>
      <c r="F1049" s="74"/>
      <c r="G1049" s="74"/>
      <c r="H1049" s="74"/>
      <c r="I1049" s="74"/>
      <c r="J1049" s="74"/>
      <c r="K1049" s="74"/>
      <c r="L1049" s="74"/>
      <c r="M1049" s="74"/>
      <c r="N1049" s="74"/>
      <c r="O1049" s="74"/>
      <c r="P1049" s="74"/>
      <c r="Q1049" s="74"/>
      <c r="R1049" s="74"/>
      <c r="S1049" s="74"/>
      <c r="T1049" s="74"/>
      <c r="U1049" s="74"/>
      <c r="V1049" s="74"/>
      <c r="W1049" s="74"/>
      <c r="X1049" s="74"/>
      <c r="Y1049" s="74"/>
      <c r="Z1049" s="74"/>
      <c r="AA1049" s="74"/>
      <c r="AB1049" s="74"/>
      <c r="AC1049" s="74"/>
      <c r="AD1049" s="74"/>
    </row>
    <row r="1050" spans="1:30" x14ac:dyDescent="0.3">
      <c r="A1050" s="74"/>
      <c r="B1050" s="74"/>
      <c r="C1050" s="74"/>
      <c r="D1050" s="74"/>
      <c r="E1050" s="74"/>
      <c r="F1050" s="74"/>
      <c r="G1050" s="74"/>
      <c r="H1050" s="74"/>
      <c r="I1050" s="74"/>
      <c r="J1050" s="74"/>
      <c r="K1050" s="74"/>
      <c r="L1050" s="74"/>
      <c r="M1050" s="74"/>
      <c r="N1050" s="74"/>
      <c r="O1050" s="74"/>
      <c r="P1050" s="74"/>
      <c r="Q1050" s="74"/>
      <c r="R1050" s="74"/>
      <c r="S1050" s="74"/>
      <c r="T1050" s="74"/>
      <c r="U1050" s="74"/>
      <c r="V1050" s="74"/>
      <c r="W1050" s="74"/>
      <c r="X1050" s="74"/>
      <c r="Y1050" s="74"/>
      <c r="Z1050" s="74"/>
      <c r="AA1050" s="74"/>
      <c r="AB1050" s="74"/>
      <c r="AC1050" s="74"/>
      <c r="AD1050" s="74"/>
    </row>
  </sheetData>
  <mergeCells count="4">
    <mergeCell ref="A64:E64"/>
    <mergeCell ref="A67:B67"/>
    <mergeCell ref="C67:O67"/>
    <mergeCell ref="A107:E107"/>
  </mergeCells>
  <hyperlinks>
    <hyperlink ref="A1" r:id="rId1" display="http://s.no/" xr:uid="{2079DC5B-9962-483B-B8E6-BDF5C094968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0A8F-E401-446E-A68F-D5CF201E8515}">
  <sheetPr>
    <tabColor rgb="FF7030A0"/>
  </sheetPr>
  <dimension ref="A1:AE1020"/>
  <sheetViews>
    <sheetView workbookViewId="0">
      <selection sqref="A1:AE1020"/>
    </sheetView>
  </sheetViews>
  <sheetFormatPr defaultRowHeight="14.4" x14ac:dyDescent="0.3"/>
  <cols>
    <col min="1" max="1" width="5.5546875" bestFit="1" customWidth="1"/>
    <col min="2" max="2" width="22.33203125" bestFit="1" customWidth="1"/>
    <col min="3" max="3" width="9.6640625" bestFit="1" customWidth="1"/>
    <col min="4" max="4" width="39.33203125" bestFit="1" customWidth="1"/>
    <col min="5" max="5" width="18.44140625" bestFit="1" customWidth="1"/>
    <col min="6" max="6" width="10.6640625" bestFit="1" customWidth="1"/>
    <col min="7" max="7" width="7" bestFit="1" customWidth="1"/>
    <col min="8" max="8" width="10.6640625" bestFit="1" customWidth="1"/>
    <col min="9" max="9" width="4.6640625" bestFit="1" customWidth="1"/>
    <col min="10" max="12" width="11.88671875" bestFit="1" customWidth="1"/>
    <col min="13" max="13" width="10.109375" bestFit="1" customWidth="1"/>
    <col min="14" max="14" width="14" bestFit="1" customWidth="1"/>
    <col min="15" max="15" width="12.88671875" bestFit="1" customWidth="1"/>
    <col min="17" max="17" width="8.6640625" bestFit="1" customWidth="1"/>
    <col min="18" max="18" width="11.88671875" bestFit="1" customWidth="1"/>
  </cols>
  <sheetData>
    <row r="1" spans="1:31" x14ac:dyDescent="0.3">
      <c r="A1" s="105" t="s">
        <v>174</v>
      </c>
      <c r="B1" s="29" t="s">
        <v>26</v>
      </c>
      <c r="C1" s="29" t="s">
        <v>27</v>
      </c>
      <c r="D1" s="29" t="s">
        <v>28</v>
      </c>
      <c r="E1" s="29" t="s">
        <v>29</v>
      </c>
      <c r="F1" s="29" t="s">
        <v>110</v>
      </c>
      <c r="G1" s="29" t="s">
        <v>34</v>
      </c>
      <c r="H1" s="29" t="s">
        <v>127</v>
      </c>
      <c r="I1" s="29" t="s">
        <v>34</v>
      </c>
      <c r="J1" s="29" t="s">
        <v>128</v>
      </c>
      <c r="K1" s="29" t="s">
        <v>36</v>
      </c>
      <c r="L1" s="29" t="s">
        <v>37</v>
      </c>
      <c r="M1" s="29" t="s">
        <v>38</v>
      </c>
      <c r="N1" s="29" t="s">
        <v>129</v>
      </c>
      <c r="O1" s="29" t="s">
        <v>130</v>
      </c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1"/>
    </row>
    <row r="2" spans="1:31" x14ac:dyDescent="0.3">
      <c r="A2" s="32">
        <v>1</v>
      </c>
      <c r="B2" s="33" t="s">
        <v>466</v>
      </c>
      <c r="C2" s="34">
        <v>45778</v>
      </c>
      <c r="D2" s="35" t="s">
        <v>170</v>
      </c>
      <c r="E2" s="33" t="s">
        <v>171</v>
      </c>
      <c r="F2" s="36">
        <v>48203000</v>
      </c>
      <c r="G2" s="36">
        <v>12600</v>
      </c>
      <c r="H2" s="37"/>
      <c r="I2" s="37"/>
      <c r="J2" s="36">
        <v>30160</v>
      </c>
      <c r="K2" s="33">
        <v>2714.4</v>
      </c>
      <c r="L2" s="33">
        <v>2714.4</v>
      </c>
      <c r="M2" s="33">
        <v>0</v>
      </c>
      <c r="N2" s="33">
        <v>0</v>
      </c>
      <c r="O2" s="38">
        <v>35588.800000000003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1"/>
    </row>
    <row r="3" spans="1:31" x14ac:dyDescent="0.3">
      <c r="A3" s="32">
        <v>2</v>
      </c>
      <c r="B3" s="33" t="s">
        <v>467</v>
      </c>
      <c r="C3" s="34">
        <v>45778</v>
      </c>
      <c r="D3" s="35" t="s">
        <v>337</v>
      </c>
      <c r="E3" s="33" t="s">
        <v>46</v>
      </c>
      <c r="F3" s="36">
        <v>4820</v>
      </c>
      <c r="G3" s="36">
        <v>2</v>
      </c>
      <c r="H3" s="37"/>
      <c r="I3" s="37"/>
      <c r="J3" s="36">
        <v>600</v>
      </c>
      <c r="K3" s="33">
        <v>54</v>
      </c>
      <c r="L3" s="33">
        <v>54</v>
      </c>
      <c r="M3" s="33">
        <v>0</v>
      </c>
      <c r="N3" s="33">
        <v>0</v>
      </c>
      <c r="O3" s="36">
        <v>708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1"/>
    </row>
    <row r="4" spans="1:31" x14ac:dyDescent="0.3">
      <c r="A4" s="32">
        <v>3</v>
      </c>
      <c r="B4" s="33" t="s">
        <v>468</v>
      </c>
      <c r="C4" s="34">
        <v>45780</v>
      </c>
      <c r="D4" s="35" t="s">
        <v>469</v>
      </c>
      <c r="E4" s="33" t="s">
        <v>470</v>
      </c>
      <c r="F4" s="36">
        <v>8479</v>
      </c>
      <c r="G4" s="36">
        <v>13</v>
      </c>
      <c r="H4" s="37"/>
      <c r="I4" s="37"/>
      <c r="J4" s="36">
        <v>1366000</v>
      </c>
      <c r="K4" s="33">
        <v>0</v>
      </c>
      <c r="L4" s="33">
        <v>0</v>
      </c>
      <c r="M4" s="33">
        <v>245880</v>
      </c>
      <c r="N4" s="33">
        <v>0</v>
      </c>
      <c r="O4" s="38">
        <v>1611880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1"/>
    </row>
    <row r="5" spans="1:31" x14ac:dyDescent="0.3">
      <c r="A5" s="39"/>
      <c r="B5" s="35"/>
      <c r="C5" s="35"/>
      <c r="D5" s="35"/>
      <c r="E5" s="35"/>
      <c r="F5" s="36">
        <v>4412</v>
      </c>
      <c r="G5" s="36">
        <v>1</v>
      </c>
      <c r="H5" s="37"/>
      <c r="I5" s="37"/>
      <c r="J5" s="37"/>
      <c r="K5" s="35"/>
      <c r="L5" s="35"/>
      <c r="M5" s="35"/>
      <c r="N5" s="35"/>
      <c r="O5" s="37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1"/>
    </row>
    <row r="6" spans="1:31" x14ac:dyDescent="0.3">
      <c r="A6" s="32">
        <v>4</v>
      </c>
      <c r="B6" s="33" t="s">
        <v>471</v>
      </c>
      <c r="C6" s="34">
        <v>45783</v>
      </c>
      <c r="D6" s="35" t="s">
        <v>48</v>
      </c>
      <c r="E6" s="33" t="s">
        <v>49</v>
      </c>
      <c r="F6" s="36">
        <v>49110000</v>
      </c>
      <c r="G6" s="36">
        <v>11594</v>
      </c>
      <c r="H6" s="37"/>
      <c r="I6" s="37"/>
      <c r="J6" s="36">
        <v>39419.599999999999</v>
      </c>
      <c r="K6" s="33">
        <v>0</v>
      </c>
      <c r="L6" s="33">
        <v>0</v>
      </c>
      <c r="M6" s="33">
        <v>7095.5280000000002</v>
      </c>
      <c r="N6" s="33">
        <v>0</v>
      </c>
      <c r="O6" s="38">
        <v>46515.13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1"/>
    </row>
    <row r="7" spans="1:31" x14ac:dyDescent="0.3">
      <c r="A7" s="32">
        <v>5</v>
      </c>
      <c r="B7" s="33" t="s">
        <v>472</v>
      </c>
      <c r="C7" s="34">
        <v>45784</v>
      </c>
      <c r="D7" s="35" t="s">
        <v>48</v>
      </c>
      <c r="E7" s="33" t="s">
        <v>49</v>
      </c>
      <c r="F7" s="36">
        <v>49110000</v>
      </c>
      <c r="G7" s="36">
        <v>29023</v>
      </c>
      <c r="H7" s="37"/>
      <c r="I7" s="37"/>
      <c r="J7" s="36">
        <v>48758.64</v>
      </c>
      <c r="K7" s="33">
        <v>0</v>
      </c>
      <c r="L7" s="33">
        <v>0</v>
      </c>
      <c r="M7" s="33">
        <v>8776.5552000000007</v>
      </c>
      <c r="N7" s="33">
        <v>0</v>
      </c>
      <c r="O7" s="38">
        <v>57535.199999999997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1"/>
    </row>
    <row r="8" spans="1:31" x14ac:dyDescent="0.3">
      <c r="A8" s="32">
        <v>6</v>
      </c>
      <c r="B8" s="33" t="s">
        <v>473</v>
      </c>
      <c r="C8" s="34">
        <v>45784</v>
      </c>
      <c r="D8" s="35" t="s">
        <v>205</v>
      </c>
      <c r="E8" s="33" t="s">
        <v>206</v>
      </c>
      <c r="F8" s="36">
        <v>29191000</v>
      </c>
      <c r="G8" s="36">
        <v>480</v>
      </c>
      <c r="H8" s="37"/>
      <c r="I8" s="37"/>
      <c r="J8" s="36">
        <v>960</v>
      </c>
      <c r="K8" s="33">
        <v>86.4</v>
      </c>
      <c r="L8" s="33">
        <v>86.4</v>
      </c>
      <c r="M8" s="33">
        <v>0</v>
      </c>
      <c r="N8" s="33">
        <v>0</v>
      </c>
      <c r="O8" s="38">
        <v>1132.8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1"/>
    </row>
    <row r="9" spans="1:31" x14ac:dyDescent="0.3">
      <c r="A9" s="32">
        <v>7</v>
      </c>
      <c r="B9" s="71" t="s">
        <v>474</v>
      </c>
      <c r="C9" s="34">
        <v>45784</v>
      </c>
      <c r="D9" s="35" t="s">
        <v>48</v>
      </c>
      <c r="E9" s="33" t="s">
        <v>49</v>
      </c>
      <c r="F9" s="36">
        <v>49110000</v>
      </c>
      <c r="G9" s="36">
        <v>17250</v>
      </c>
      <c r="H9" s="37"/>
      <c r="I9" s="37"/>
      <c r="J9" s="36">
        <v>41020</v>
      </c>
      <c r="K9" s="33">
        <v>0</v>
      </c>
      <c r="L9" s="33">
        <v>0</v>
      </c>
      <c r="M9" s="33">
        <v>7383.6</v>
      </c>
      <c r="N9" s="33">
        <v>0</v>
      </c>
      <c r="O9" s="38">
        <v>48403.6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1"/>
    </row>
    <row r="10" spans="1:31" x14ac:dyDescent="0.3">
      <c r="A10" s="32">
        <v>8</v>
      </c>
      <c r="B10" s="33" t="s">
        <v>475</v>
      </c>
      <c r="C10" s="34">
        <v>45784</v>
      </c>
      <c r="D10" s="35" t="s">
        <v>48</v>
      </c>
      <c r="E10" s="33" t="s">
        <v>49</v>
      </c>
      <c r="F10" s="36">
        <v>49110000</v>
      </c>
      <c r="G10" s="36">
        <v>6736</v>
      </c>
      <c r="H10" s="37"/>
      <c r="I10" s="37"/>
      <c r="J10" s="36">
        <v>5658.24</v>
      </c>
      <c r="K10" s="33">
        <v>0</v>
      </c>
      <c r="L10" s="33">
        <v>0</v>
      </c>
      <c r="M10" s="33">
        <v>1018.4832</v>
      </c>
      <c r="N10" s="33">
        <v>0</v>
      </c>
      <c r="O10" s="38">
        <v>6676.72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</row>
    <row r="11" spans="1:31" x14ac:dyDescent="0.3">
      <c r="A11" s="32">
        <v>9</v>
      </c>
      <c r="B11" s="33" t="s">
        <v>476</v>
      </c>
      <c r="C11" s="34">
        <v>45785</v>
      </c>
      <c r="D11" s="35" t="s">
        <v>337</v>
      </c>
      <c r="E11" s="33" t="s">
        <v>46</v>
      </c>
      <c r="F11" s="36">
        <v>4280</v>
      </c>
      <c r="G11" s="36">
        <v>8</v>
      </c>
      <c r="H11" s="37"/>
      <c r="I11" s="37"/>
      <c r="J11" s="36">
        <v>960</v>
      </c>
      <c r="K11" s="33">
        <v>86.4</v>
      </c>
      <c r="L11" s="33">
        <v>86.4</v>
      </c>
      <c r="M11" s="33">
        <v>0</v>
      </c>
      <c r="N11" s="33">
        <v>0</v>
      </c>
      <c r="O11" s="38">
        <v>1132.8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1"/>
    </row>
    <row r="12" spans="1:31" x14ac:dyDescent="0.3">
      <c r="A12" s="32">
        <v>10</v>
      </c>
      <c r="B12" s="33" t="s">
        <v>477</v>
      </c>
      <c r="C12" s="34">
        <v>45787</v>
      </c>
      <c r="D12" s="35" t="s">
        <v>391</v>
      </c>
      <c r="E12" s="33" t="s">
        <v>58</v>
      </c>
      <c r="F12" s="36">
        <v>4911</v>
      </c>
      <c r="G12" s="36">
        <v>146</v>
      </c>
      <c r="H12" s="37"/>
      <c r="I12" s="37"/>
      <c r="J12" s="36">
        <v>15604</v>
      </c>
      <c r="K12" s="33">
        <v>1404.36</v>
      </c>
      <c r="L12" s="33">
        <v>1404.36</v>
      </c>
      <c r="M12" s="33">
        <v>0</v>
      </c>
      <c r="N12" s="33">
        <v>0</v>
      </c>
      <c r="O12" s="38">
        <v>18412.72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1"/>
    </row>
    <row r="13" spans="1:31" x14ac:dyDescent="0.3">
      <c r="A13" s="32">
        <v>11</v>
      </c>
      <c r="B13" s="33" t="s">
        <v>478</v>
      </c>
      <c r="C13" s="34">
        <v>45790</v>
      </c>
      <c r="D13" s="35" t="s">
        <v>421</v>
      </c>
      <c r="E13" s="33" t="s">
        <v>422</v>
      </c>
      <c r="F13" s="36">
        <v>4820</v>
      </c>
      <c r="G13" s="36">
        <v>4</v>
      </c>
      <c r="H13" s="37"/>
      <c r="I13" s="37"/>
      <c r="J13" s="36">
        <v>9800</v>
      </c>
      <c r="K13" s="33">
        <v>588</v>
      </c>
      <c r="L13" s="33">
        <v>588</v>
      </c>
      <c r="M13" s="33">
        <v>0</v>
      </c>
      <c r="N13" s="33">
        <v>0</v>
      </c>
      <c r="O13" s="38">
        <v>10976</v>
      </c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1"/>
    </row>
    <row r="14" spans="1:31" x14ac:dyDescent="0.3">
      <c r="A14" s="32">
        <v>12</v>
      </c>
      <c r="B14" s="33" t="s">
        <v>479</v>
      </c>
      <c r="C14" s="34">
        <v>45791</v>
      </c>
      <c r="D14" s="35" t="s">
        <v>480</v>
      </c>
      <c r="E14" s="33" t="s">
        <v>481</v>
      </c>
      <c r="F14" s="36">
        <v>3921</v>
      </c>
      <c r="G14" s="36">
        <v>23760</v>
      </c>
      <c r="H14" s="37"/>
      <c r="I14" s="37"/>
      <c r="J14" s="36">
        <v>17107.2</v>
      </c>
      <c r="K14" s="33">
        <v>0</v>
      </c>
      <c r="L14" s="33">
        <v>0</v>
      </c>
      <c r="M14" s="33">
        <v>3079.2959999999998</v>
      </c>
      <c r="N14" s="33">
        <v>0</v>
      </c>
      <c r="O14" s="38">
        <v>20186.5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1"/>
    </row>
    <row r="15" spans="1:31" x14ac:dyDescent="0.3">
      <c r="A15" s="32">
        <v>13</v>
      </c>
      <c r="B15" s="33" t="s">
        <v>482</v>
      </c>
      <c r="C15" s="34">
        <v>45791</v>
      </c>
      <c r="D15" s="35" t="s">
        <v>480</v>
      </c>
      <c r="E15" s="33" t="s">
        <v>481</v>
      </c>
      <c r="F15" s="36">
        <v>3921</v>
      </c>
      <c r="G15" s="36">
        <v>36720</v>
      </c>
      <c r="H15" s="37"/>
      <c r="I15" s="37"/>
      <c r="J15" s="36">
        <v>26438.400000000001</v>
      </c>
      <c r="K15" s="33">
        <v>0</v>
      </c>
      <c r="L15" s="33">
        <v>0</v>
      </c>
      <c r="M15" s="33">
        <v>4758.9120000000003</v>
      </c>
      <c r="N15" s="33">
        <v>0</v>
      </c>
      <c r="O15" s="38">
        <v>31197.31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1"/>
    </row>
    <row r="16" spans="1:31" x14ac:dyDescent="0.3">
      <c r="A16" s="32">
        <v>14</v>
      </c>
      <c r="B16" s="33" t="s">
        <v>483</v>
      </c>
      <c r="C16" s="34">
        <v>45791</v>
      </c>
      <c r="D16" s="35" t="s">
        <v>484</v>
      </c>
      <c r="E16" s="33" t="s">
        <v>485</v>
      </c>
      <c r="F16" s="36">
        <v>845190</v>
      </c>
      <c r="G16" s="36">
        <v>45</v>
      </c>
      <c r="H16" s="37"/>
      <c r="I16" s="37"/>
      <c r="J16" s="36">
        <v>3915</v>
      </c>
      <c r="K16" s="33">
        <v>352.35</v>
      </c>
      <c r="L16" s="33">
        <v>352.35</v>
      </c>
      <c r="M16" s="33">
        <v>0</v>
      </c>
      <c r="N16" s="33">
        <v>0</v>
      </c>
      <c r="O16" s="38">
        <v>4619.7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1"/>
    </row>
    <row r="17" spans="1:31" x14ac:dyDescent="0.3">
      <c r="A17" s="32">
        <v>15</v>
      </c>
      <c r="B17" s="33" t="s">
        <v>486</v>
      </c>
      <c r="C17" s="34">
        <v>45792</v>
      </c>
      <c r="D17" s="35" t="s">
        <v>48</v>
      </c>
      <c r="E17" s="33" t="s">
        <v>49</v>
      </c>
      <c r="F17" s="36">
        <v>49110000</v>
      </c>
      <c r="G17" s="36">
        <v>9329</v>
      </c>
      <c r="H17" s="37"/>
      <c r="I17" s="37"/>
      <c r="J17" s="36">
        <v>33386.559999999998</v>
      </c>
      <c r="K17" s="33">
        <v>0</v>
      </c>
      <c r="L17" s="33">
        <v>0</v>
      </c>
      <c r="M17" s="33">
        <v>6009.5807999999997</v>
      </c>
      <c r="N17" s="33">
        <v>0</v>
      </c>
      <c r="O17" s="38">
        <v>39396.14</v>
      </c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1"/>
    </row>
    <row r="18" spans="1:31" x14ac:dyDescent="0.3">
      <c r="A18" s="32">
        <v>16</v>
      </c>
      <c r="B18" s="71" t="s">
        <v>487</v>
      </c>
      <c r="C18" s="34">
        <v>45792</v>
      </c>
      <c r="D18" s="35" t="s">
        <v>385</v>
      </c>
      <c r="E18" s="33" t="s">
        <v>85</v>
      </c>
      <c r="F18" s="36">
        <v>4820</v>
      </c>
      <c r="G18" s="36">
        <v>10000</v>
      </c>
      <c r="H18" s="37"/>
      <c r="I18" s="37"/>
      <c r="J18" s="36">
        <v>30000</v>
      </c>
      <c r="K18" s="33">
        <v>0</v>
      </c>
      <c r="L18" s="33">
        <v>0</v>
      </c>
      <c r="M18" s="33">
        <v>5400</v>
      </c>
      <c r="N18" s="33">
        <v>0</v>
      </c>
      <c r="O18" s="38">
        <v>35400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1"/>
    </row>
    <row r="19" spans="1:31" x14ac:dyDescent="0.3">
      <c r="A19" s="32">
        <v>17</v>
      </c>
      <c r="B19" s="33" t="s">
        <v>488</v>
      </c>
      <c r="C19" s="34">
        <v>45794</v>
      </c>
      <c r="D19" s="35" t="s">
        <v>391</v>
      </c>
      <c r="E19" s="35" t="s">
        <v>58</v>
      </c>
      <c r="F19" s="36">
        <v>3919</v>
      </c>
      <c r="G19" s="36">
        <v>30</v>
      </c>
      <c r="H19" s="37"/>
      <c r="I19" s="37"/>
      <c r="J19" s="36">
        <v>1200</v>
      </c>
      <c r="K19" s="33">
        <v>108</v>
      </c>
      <c r="L19" s="33">
        <v>108</v>
      </c>
      <c r="M19" s="33">
        <v>0</v>
      </c>
      <c r="N19" s="33">
        <v>0</v>
      </c>
      <c r="O19" s="38">
        <v>1416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1"/>
    </row>
    <row r="20" spans="1:31" x14ac:dyDescent="0.3">
      <c r="A20" s="32">
        <v>18</v>
      </c>
      <c r="B20" s="33" t="s">
        <v>489</v>
      </c>
      <c r="C20" s="34">
        <v>45794</v>
      </c>
      <c r="D20" s="35" t="s">
        <v>391</v>
      </c>
      <c r="E20" s="35" t="s">
        <v>58</v>
      </c>
      <c r="F20" s="36">
        <v>4820</v>
      </c>
      <c r="G20" s="36">
        <v>120</v>
      </c>
      <c r="H20" s="37"/>
      <c r="I20" s="37"/>
      <c r="J20" s="36">
        <v>7140.6</v>
      </c>
      <c r="K20" s="33">
        <v>642.654</v>
      </c>
      <c r="L20" s="33">
        <v>642.654</v>
      </c>
      <c r="M20" s="33">
        <v>0</v>
      </c>
      <c r="N20" s="33">
        <v>0</v>
      </c>
      <c r="O20" s="38">
        <v>8425.91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1"/>
    </row>
    <row r="21" spans="1:31" x14ac:dyDescent="0.3">
      <c r="A21" s="39"/>
      <c r="B21" s="35"/>
      <c r="C21" s="35"/>
      <c r="D21" s="35"/>
      <c r="E21" s="35"/>
      <c r="F21" s="36">
        <v>4820</v>
      </c>
      <c r="G21" s="36">
        <v>108015</v>
      </c>
      <c r="H21" s="37"/>
      <c r="I21" s="37"/>
      <c r="J21" s="37"/>
      <c r="K21" s="35"/>
      <c r="L21" s="35"/>
      <c r="M21" s="35"/>
      <c r="N21" s="35"/>
      <c r="O21" s="37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1"/>
    </row>
    <row r="22" spans="1:31" x14ac:dyDescent="0.3">
      <c r="A22" s="32">
        <v>19</v>
      </c>
      <c r="B22" s="33" t="s">
        <v>490</v>
      </c>
      <c r="C22" s="34">
        <v>45794</v>
      </c>
      <c r="D22" s="35" t="s">
        <v>42</v>
      </c>
      <c r="E22" s="35" t="s">
        <v>43</v>
      </c>
      <c r="F22" s="36">
        <v>4820</v>
      </c>
      <c r="G22" s="36">
        <v>90</v>
      </c>
      <c r="H22" s="37"/>
      <c r="I22" s="37"/>
      <c r="J22" s="36">
        <v>3945</v>
      </c>
      <c r="K22" s="33">
        <v>355.05</v>
      </c>
      <c r="L22" s="33">
        <v>355.05</v>
      </c>
      <c r="M22" s="33">
        <v>0</v>
      </c>
      <c r="N22" s="33">
        <v>0</v>
      </c>
      <c r="O22" s="38">
        <v>4655.1000000000004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1"/>
    </row>
    <row r="23" spans="1:31" x14ac:dyDescent="0.3">
      <c r="A23" s="39"/>
      <c r="B23" s="35"/>
      <c r="C23" s="35"/>
      <c r="D23" s="35"/>
      <c r="E23" s="35"/>
      <c r="F23" s="36">
        <v>4820</v>
      </c>
      <c r="G23" s="36">
        <v>45000</v>
      </c>
      <c r="H23" s="37"/>
      <c r="I23" s="37"/>
      <c r="J23" s="37"/>
      <c r="K23" s="35"/>
      <c r="L23" s="35"/>
      <c r="M23" s="35"/>
      <c r="N23" s="35"/>
      <c r="O23" s="37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1"/>
    </row>
    <row r="24" spans="1:31" x14ac:dyDescent="0.3">
      <c r="A24" s="32">
        <v>20</v>
      </c>
      <c r="B24" s="33" t="s">
        <v>491</v>
      </c>
      <c r="C24" s="34">
        <v>45796</v>
      </c>
      <c r="D24" s="35" t="s">
        <v>434</v>
      </c>
      <c r="E24" s="33" t="s">
        <v>330</v>
      </c>
      <c r="F24" s="36">
        <v>3923</v>
      </c>
      <c r="G24" s="36">
        <v>4800</v>
      </c>
      <c r="H24" s="37"/>
      <c r="I24" s="37"/>
      <c r="J24" s="36">
        <v>2640</v>
      </c>
      <c r="K24" s="33">
        <v>237.6</v>
      </c>
      <c r="L24" s="33">
        <v>237.6</v>
      </c>
      <c r="M24" s="33">
        <v>0</v>
      </c>
      <c r="N24" s="33">
        <v>0</v>
      </c>
      <c r="O24" s="38">
        <v>3115.2</v>
      </c>
      <c r="P24" s="30"/>
      <c r="Q24" s="106"/>
      <c r="R24" s="106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1"/>
    </row>
    <row r="25" spans="1:31" x14ac:dyDescent="0.3">
      <c r="A25" s="32">
        <v>21</v>
      </c>
      <c r="B25" s="71" t="s">
        <v>492</v>
      </c>
      <c r="C25" s="34">
        <v>45797</v>
      </c>
      <c r="D25" s="35" t="s">
        <v>385</v>
      </c>
      <c r="E25" s="33" t="s">
        <v>85</v>
      </c>
      <c r="F25" s="36">
        <v>4820</v>
      </c>
      <c r="G25" s="36">
        <v>400</v>
      </c>
      <c r="H25" s="37"/>
      <c r="I25" s="37"/>
      <c r="J25" s="36">
        <v>6400</v>
      </c>
      <c r="K25" s="33">
        <v>0</v>
      </c>
      <c r="L25" s="33">
        <v>0</v>
      </c>
      <c r="M25" s="33">
        <v>1152</v>
      </c>
      <c r="N25" s="33">
        <v>0</v>
      </c>
      <c r="O25" s="38">
        <v>7552</v>
      </c>
      <c r="P25" s="107"/>
      <c r="Q25" s="108" t="s">
        <v>24</v>
      </c>
      <c r="R25" s="109">
        <v>2224603.7999999998</v>
      </c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1"/>
    </row>
    <row r="26" spans="1:31" x14ac:dyDescent="0.3">
      <c r="A26" s="32">
        <v>22</v>
      </c>
      <c r="B26" s="71" t="s">
        <v>493</v>
      </c>
      <c r="C26" s="34">
        <v>45798</v>
      </c>
      <c r="D26" s="35" t="s">
        <v>277</v>
      </c>
      <c r="E26" s="35" t="s">
        <v>55</v>
      </c>
      <c r="F26" s="36">
        <v>3919</v>
      </c>
      <c r="G26" s="36">
        <v>236</v>
      </c>
      <c r="H26" s="37"/>
      <c r="I26" s="37"/>
      <c r="J26" s="36">
        <v>7686.52</v>
      </c>
      <c r="K26" s="33">
        <v>691.78679999999997</v>
      </c>
      <c r="L26" s="33">
        <v>691.78679999999997</v>
      </c>
      <c r="M26" s="33">
        <v>0</v>
      </c>
      <c r="N26" s="33">
        <v>0</v>
      </c>
      <c r="O26" s="38">
        <v>9070.09</v>
      </c>
      <c r="P26" s="107"/>
      <c r="Q26" s="108" t="s">
        <v>108</v>
      </c>
      <c r="R26" s="110">
        <v>1544782.9</v>
      </c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1"/>
    </row>
    <row r="27" spans="1:31" x14ac:dyDescent="0.3">
      <c r="A27" s="32">
        <v>23</v>
      </c>
      <c r="B27" s="33" t="s">
        <v>494</v>
      </c>
      <c r="C27" s="34">
        <v>45804</v>
      </c>
      <c r="D27" s="35" t="s">
        <v>407</v>
      </c>
      <c r="E27" s="35" t="s">
        <v>76</v>
      </c>
      <c r="F27" s="36">
        <v>3919</v>
      </c>
      <c r="G27" s="36">
        <v>5825</v>
      </c>
      <c r="H27" s="37"/>
      <c r="I27" s="37"/>
      <c r="J27" s="36">
        <v>64075</v>
      </c>
      <c r="K27" s="33">
        <v>0</v>
      </c>
      <c r="L27" s="33">
        <v>0</v>
      </c>
      <c r="M27" s="33">
        <v>11533.5</v>
      </c>
      <c r="N27" s="33">
        <v>0</v>
      </c>
      <c r="O27" s="38">
        <v>75608.5</v>
      </c>
      <c r="P27" s="107"/>
      <c r="Q27" s="108" t="s">
        <v>200</v>
      </c>
      <c r="R27" s="111">
        <v>679820.9</v>
      </c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1"/>
    </row>
    <row r="28" spans="1:31" x14ac:dyDescent="0.3">
      <c r="A28" s="32">
        <v>24</v>
      </c>
      <c r="B28" s="71" t="s">
        <v>495</v>
      </c>
      <c r="C28" s="34">
        <v>45804</v>
      </c>
      <c r="D28" s="35" t="s">
        <v>391</v>
      </c>
      <c r="E28" s="35" t="s">
        <v>58</v>
      </c>
      <c r="F28" s="36">
        <v>4820</v>
      </c>
      <c r="G28" s="36">
        <v>30</v>
      </c>
      <c r="H28" s="37"/>
      <c r="I28" s="37"/>
      <c r="J28" s="36">
        <v>1140</v>
      </c>
      <c r="K28" s="33">
        <v>102.6</v>
      </c>
      <c r="L28" s="33">
        <v>102.6</v>
      </c>
      <c r="M28" s="33">
        <v>0</v>
      </c>
      <c r="N28" s="33">
        <v>0</v>
      </c>
      <c r="O28" s="38">
        <v>1345.2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1"/>
    </row>
    <row r="29" spans="1:31" x14ac:dyDescent="0.3">
      <c r="A29" s="32">
        <v>25</v>
      </c>
      <c r="B29" s="71" t="s">
        <v>496</v>
      </c>
      <c r="C29" s="34">
        <v>45804</v>
      </c>
      <c r="D29" s="35" t="s">
        <v>391</v>
      </c>
      <c r="E29" s="35" t="s">
        <v>58</v>
      </c>
      <c r="F29" s="36">
        <v>4820</v>
      </c>
      <c r="G29" s="36">
        <v>285625</v>
      </c>
      <c r="H29" s="37"/>
      <c r="I29" s="37"/>
      <c r="J29" s="36">
        <v>12827.5</v>
      </c>
      <c r="K29" s="33">
        <v>1154.4749999999999</v>
      </c>
      <c r="L29" s="33">
        <v>1154.4749999999999</v>
      </c>
      <c r="M29" s="33">
        <v>0</v>
      </c>
      <c r="N29" s="33" t="s">
        <v>497</v>
      </c>
      <c r="O29" s="38">
        <v>15136.45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1"/>
    </row>
    <row r="30" spans="1:31" x14ac:dyDescent="0.3">
      <c r="A30" s="32">
        <v>26</v>
      </c>
      <c r="B30" s="71" t="s">
        <v>498</v>
      </c>
      <c r="C30" s="34">
        <v>45804</v>
      </c>
      <c r="D30" s="35" t="s">
        <v>391</v>
      </c>
      <c r="E30" s="35" t="s">
        <v>58</v>
      </c>
      <c r="F30" s="36">
        <v>4820</v>
      </c>
      <c r="G30" s="36">
        <v>120</v>
      </c>
      <c r="H30" s="37"/>
      <c r="I30" s="37"/>
      <c r="J30" s="36">
        <v>2820</v>
      </c>
      <c r="K30" s="33">
        <v>253.8</v>
      </c>
      <c r="L30" s="33">
        <v>253.8</v>
      </c>
      <c r="M30" s="33">
        <v>0</v>
      </c>
      <c r="N30" s="33">
        <v>0</v>
      </c>
      <c r="O30" s="38">
        <v>3327.6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1"/>
    </row>
    <row r="31" spans="1:31" x14ac:dyDescent="0.3">
      <c r="A31" s="32">
        <v>27</v>
      </c>
      <c r="B31" s="71" t="s">
        <v>499</v>
      </c>
      <c r="C31" s="34">
        <v>45804</v>
      </c>
      <c r="D31" s="35" t="s">
        <v>391</v>
      </c>
      <c r="E31" s="35" t="s">
        <v>58</v>
      </c>
      <c r="F31" s="36">
        <v>4911</v>
      </c>
      <c r="G31" s="36">
        <v>181</v>
      </c>
      <c r="H31" s="37"/>
      <c r="I31" s="37"/>
      <c r="J31" s="36">
        <v>20310</v>
      </c>
      <c r="K31" s="33">
        <v>1827.9</v>
      </c>
      <c r="L31" s="33">
        <v>1827.9</v>
      </c>
      <c r="M31" s="33">
        <v>0</v>
      </c>
      <c r="N31" s="33">
        <v>0</v>
      </c>
      <c r="O31" s="38">
        <v>23965.8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1"/>
    </row>
    <row r="32" spans="1:31" x14ac:dyDescent="0.3">
      <c r="A32" s="39"/>
      <c r="B32" s="35"/>
      <c r="C32" s="35"/>
      <c r="D32" s="35"/>
      <c r="E32" s="35"/>
      <c r="F32" s="36">
        <v>3919</v>
      </c>
      <c r="G32" s="36">
        <v>10</v>
      </c>
      <c r="H32" s="37"/>
      <c r="I32" s="37"/>
      <c r="J32" s="37"/>
      <c r="K32" s="35"/>
      <c r="L32" s="35"/>
      <c r="M32" s="35"/>
      <c r="N32" s="35"/>
      <c r="O32" s="37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1"/>
    </row>
    <row r="33" spans="1:31" x14ac:dyDescent="0.3">
      <c r="A33" s="32">
        <v>28</v>
      </c>
      <c r="B33" s="71" t="s">
        <v>500</v>
      </c>
      <c r="C33" s="34">
        <v>45804</v>
      </c>
      <c r="D33" s="35" t="s">
        <v>42</v>
      </c>
      <c r="E33" s="35" t="s">
        <v>43</v>
      </c>
      <c r="F33" s="36">
        <v>4820</v>
      </c>
      <c r="G33" s="36">
        <v>26750</v>
      </c>
      <c r="H33" s="37"/>
      <c r="I33" s="37"/>
      <c r="J33" s="36">
        <v>1337.5</v>
      </c>
      <c r="K33" s="33">
        <v>120.375</v>
      </c>
      <c r="L33" s="33">
        <v>120.375</v>
      </c>
      <c r="M33" s="33">
        <v>0</v>
      </c>
      <c r="N33" s="33">
        <v>0</v>
      </c>
      <c r="O33" s="38">
        <v>1578.25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1"/>
    </row>
    <row r="34" spans="1:31" x14ac:dyDescent="0.3">
      <c r="A34" s="32">
        <v>29</v>
      </c>
      <c r="B34" s="71" t="s">
        <v>501</v>
      </c>
      <c r="C34" s="34">
        <v>45804</v>
      </c>
      <c r="D34" s="35" t="s">
        <v>42</v>
      </c>
      <c r="E34" s="35" t="s">
        <v>43</v>
      </c>
      <c r="F34" s="36">
        <v>4820</v>
      </c>
      <c r="G34" s="36">
        <v>330</v>
      </c>
      <c r="H34" s="37"/>
      <c r="I34" s="37"/>
      <c r="J34" s="36">
        <v>14465</v>
      </c>
      <c r="K34" s="33">
        <v>1301.8499999999999</v>
      </c>
      <c r="L34" s="33">
        <v>1301.8499999999999</v>
      </c>
      <c r="M34" s="33">
        <v>0</v>
      </c>
      <c r="N34" s="33">
        <v>0</v>
      </c>
      <c r="O34" s="38">
        <v>17068.7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1"/>
    </row>
    <row r="35" spans="1:31" x14ac:dyDescent="0.3">
      <c r="A35" s="39"/>
      <c r="B35" s="35"/>
      <c r="C35" s="35"/>
      <c r="D35" s="35"/>
      <c r="E35" s="35"/>
      <c r="F35" s="36">
        <v>4820</v>
      </c>
      <c r="G35" s="36">
        <v>165000</v>
      </c>
      <c r="H35" s="37"/>
      <c r="I35" s="37"/>
      <c r="J35" s="37"/>
      <c r="K35" s="35"/>
      <c r="L35" s="35"/>
      <c r="M35" s="35"/>
      <c r="N35" s="35"/>
      <c r="O35" s="37"/>
      <c r="P35" s="30"/>
      <c r="Q35" s="106"/>
      <c r="R35" s="106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1"/>
    </row>
    <row r="36" spans="1:31" x14ac:dyDescent="0.3">
      <c r="A36" s="32">
        <v>30</v>
      </c>
      <c r="B36" s="71" t="s">
        <v>502</v>
      </c>
      <c r="C36" s="34">
        <v>45806</v>
      </c>
      <c r="D36" s="35" t="s">
        <v>277</v>
      </c>
      <c r="E36" s="35" t="s">
        <v>55</v>
      </c>
      <c r="F36" s="36">
        <v>4820</v>
      </c>
      <c r="G36" s="36">
        <v>15</v>
      </c>
      <c r="H36" s="37"/>
      <c r="I36" s="37"/>
      <c r="J36" s="36">
        <v>1950</v>
      </c>
      <c r="K36" s="33">
        <v>175.5</v>
      </c>
      <c r="L36" s="33">
        <v>175.5</v>
      </c>
      <c r="M36" s="33">
        <v>0</v>
      </c>
      <c r="N36" s="33">
        <v>0</v>
      </c>
      <c r="O36" s="38">
        <v>2301</v>
      </c>
      <c r="P36" s="107"/>
      <c r="Q36" s="108" t="s">
        <v>503</v>
      </c>
      <c r="R36" s="109">
        <v>338848.04</v>
      </c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1"/>
    </row>
    <row r="37" spans="1:31" x14ac:dyDescent="0.3">
      <c r="A37" s="32">
        <v>31</v>
      </c>
      <c r="B37" s="71" t="s">
        <v>504</v>
      </c>
      <c r="C37" s="34">
        <v>45806</v>
      </c>
      <c r="D37" s="35" t="s">
        <v>277</v>
      </c>
      <c r="E37" s="35" t="s">
        <v>55</v>
      </c>
      <c r="F37" s="36">
        <v>4820</v>
      </c>
      <c r="G37" s="36">
        <v>248</v>
      </c>
      <c r="H37" s="37"/>
      <c r="I37" s="37"/>
      <c r="J37" s="36">
        <v>27104</v>
      </c>
      <c r="K37" s="33">
        <v>2439.36</v>
      </c>
      <c r="L37" s="33">
        <v>2439.36</v>
      </c>
      <c r="M37" s="33">
        <v>0</v>
      </c>
      <c r="N37" s="33">
        <v>0</v>
      </c>
      <c r="O37" s="38">
        <v>31982.720000000001</v>
      </c>
      <c r="P37" s="107"/>
      <c r="Q37" s="108" t="s">
        <v>199</v>
      </c>
      <c r="R37" s="112">
        <v>237415.83679999999</v>
      </c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1"/>
    </row>
    <row r="38" spans="1:31" x14ac:dyDescent="0.3">
      <c r="A38" s="32">
        <v>32</v>
      </c>
      <c r="B38" s="71" t="s">
        <v>505</v>
      </c>
      <c r="C38" s="34">
        <v>45806</v>
      </c>
      <c r="D38" s="35" t="s">
        <v>277</v>
      </c>
      <c r="E38" s="35" t="s">
        <v>55</v>
      </c>
      <c r="F38" s="36">
        <v>4820</v>
      </c>
      <c r="G38" s="36">
        <v>72</v>
      </c>
      <c r="H38" s="37"/>
      <c r="I38" s="37"/>
      <c r="J38" s="36">
        <v>7002</v>
      </c>
      <c r="K38" s="33">
        <v>630.17999999999995</v>
      </c>
      <c r="L38" s="33">
        <v>630.17999999999995</v>
      </c>
      <c r="M38" s="33">
        <v>0</v>
      </c>
      <c r="N38" s="33">
        <v>0</v>
      </c>
      <c r="O38" s="38">
        <v>8262.36</v>
      </c>
      <c r="P38" s="30"/>
      <c r="Q38" s="30" t="s">
        <v>312</v>
      </c>
      <c r="R38" s="113">
        <v>101432.2</v>
      </c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1"/>
    </row>
    <row r="39" spans="1:31" x14ac:dyDescent="0.3">
      <c r="A39" s="32">
        <v>33</v>
      </c>
      <c r="B39" s="71" t="s">
        <v>506</v>
      </c>
      <c r="C39" s="34">
        <v>45806</v>
      </c>
      <c r="D39" s="35" t="s">
        <v>277</v>
      </c>
      <c r="E39" s="35" t="s">
        <v>55</v>
      </c>
      <c r="F39" s="36">
        <v>4820</v>
      </c>
      <c r="G39" s="36">
        <v>36</v>
      </c>
      <c r="H39" s="37"/>
      <c r="I39" s="37"/>
      <c r="J39" s="36">
        <v>1512</v>
      </c>
      <c r="K39" s="33">
        <v>136.08000000000001</v>
      </c>
      <c r="L39" s="33">
        <v>136.08000000000001</v>
      </c>
      <c r="M39" s="33">
        <v>0</v>
      </c>
      <c r="N39" s="33">
        <v>0</v>
      </c>
      <c r="O39" s="38">
        <v>1784.16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1"/>
    </row>
    <row r="40" spans="1:31" x14ac:dyDescent="0.3">
      <c r="A40" s="32">
        <v>34</v>
      </c>
      <c r="B40" s="71" t="s">
        <v>507</v>
      </c>
      <c r="C40" s="34">
        <v>45807</v>
      </c>
      <c r="D40" s="35" t="s">
        <v>42</v>
      </c>
      <c r="E40" s="35" t="s">
        <v>43</v>
      </c>
      <c r="F40" s="36">
        <v>4820</v>
      </c>
      <c r="G40" s="36">
        <v>180</v>
      </c>
      <c r="H40" s="37"/>
      <c r="I40" s="37"/>
      <c r="J40" s="36">
        <v>7890</v>
      </c>
      <c r="K40" s="33">
        <v>710.1</v>
      </c>
      <c r="L40" s="33">
        <v>710.1</v>
      </c>
      <c r="M40" s="33">
        <v>0</v>
      </c>
      <c r="N40" s="33">
        <v>0</v>
      </c>
      <c r="O40" s="38">
        <v>9310.2000000000007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1"/>
    </row>
    <row r="41" spans="1:31" x14ac:dyDescent="0.3">
      <c r="A41" s="39"/>
      <c r="B41" s="35"/>
      <c r="C41" s="35"/>
      <c r="D41" s="35"/>
      <c r="E41" s="35"/>
      <c r="F41" s="36">
        <v>4820</v>
      </c>
      <c r="G41" s="36">
        <v>90000</v>
      </c>
      <c r="H41" s="37"/>
      <c r="I41" s="37"/>
      <c r="J41" s="37"/>
      <c r="K41" s="35"/>
      <c r="L41" s="35"/>
      <c r="M41" s="35"/>
      <c r="N41" s="35"/>
      <c r="O41" s="37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1"/>
    </row>
    <row r="42" spans="1:31" x14ac:dyDescent="0.3">
      <c r="A42" s="32">
        <v>35</v>
      </c>
      <c r="B42" s="71" t="s">
        <v>508</v>
      </c>
      <c r="C42" s="34">
        <v>45807</v>
      </c>
      <c r="D42" s="35" t="s">
        <v>42</v>
      </c>
      <c r="E42" s="35" t="s">
        <v>43</v>
      </c>
      <c r="F42" s="36">
        <v>4820</v>
      </c>
      <c r="G42" s="36">
        <v>169</v>
      </c>
      <c r="H42" s="37"/>
      <c r="I42" s="37"/>
      <c r="J42" s="36">
        <v>16919</v>
      </c>
      <c r="K42" s="33">
        <v>1522.71</v>
      </c>
      <c r="L42" s="33">
        <v>1522.71</v>
      </c>
      <c r="M42" s="33">
        <v>0</v>
      </c>
      <c r="N42" s="33">
        <v>0</v>
      </c>
      <c r="O42" s="38">
        <v>19964.419999999998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1"/>
    </row>
    <row r="43" spans="1:31" x14ac:dyDescent="0.3">
      <c r="A43" s="32">
        <v>36</v>
      </c>
      <c r="B43" s="71" t="s">
        <v>509</v>
      </c>
      <c r="C43" s="34">
        <v>45807</v>
      </c>
      <c r="D43" s="35" t="s">
        <v>42</v>
      </c>
      <c r="E43" s="35" t="s">
        <v>43</v>
      </c>
      <c r="F43" s="36">
        <v>4820</v>
      </c>
      <c r="G43" s="36">
        <v>73</v>
      </c>
      <c r="H43" s="37"/>
      <c r="I43" s="37"/>
      <c r="J43" s="36">
        <v>7604</v>
      </c>
      <c r="K43" s="33">
        <v>684.36</v>
      </c>
      <c r="L43" s="33">
        <v>684.36</v>
      </c>
      <c r="M43" s="33">
        <v>0</v>
      </c>
      <c r="N43" s="33">
        <v>0</v>
      </c>
      <c r="O43" s="38">
        <v>8972.7199999999993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1"/>
    </row>
    <row r="44" spans="1:31" x14ac:dyDescent="0.3">
      <c r="A44" s="39"/>
      <c r="B44" s="35"/>
      <c r="C44" s="35"/>
      <c r="D44" s="35"/>
      <c r="E44" s="35"/>
      <c r="F44" s="37"/>
      <c r="G44" s="37"/>
      <c r="H44" s="37"/>
      <c r="I44" s="37"/>
      <c r="J44" s="37"/>
      <c r="K44" s="35"/>
      <c r="L44" s="35"/>
      <c r="M44" s="35"/>
      <c r="N44" s="35"/>
      <c r="O44" s="37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1"/>
    </row>
    <row r="45" spans="1:31" x14ac:dyDescent="0.3">
      <c r="A45" s="39"/>
      <c r="B45" s="35"/>
      <c r="C45" s="35"/>
      <c r="D45" s="35"/>
      <c r="E45" s="35"/>
      <c r="F45" s="37"/>
      <c r="G45" s="37"/>
      <c r="H45" s="37"/>
      <c r="I45" s="37"/>
      <c r="J45" s="37"/>
      <c r="K45" s="35"/>
      <c r="L45" s="35"/>
      <c r="M45" s="35"/>
      <c r="N45" s="35"/>
      <c r="O45" s="37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1"/>
    </row>
    <row r="46" spans="1:31" x14ac:dyDescent="0.3">
      <c r="A46" s="145" t="s">
        <v>172</v>
      </c>
      <c r="B46" s="146"/>
      <c r="C46" s="146"/>
      <c r="D46" s="146"/>
      <c r="E46" s="147"/>
      <c r="F46" s="35"/>
      <c r="G46" s="35"/>
      <c r="H46" s="35"/>
      <c r="I46" s="35"/>
      <c r="J46" s="40">
        <v>1885755.76</v>
      </c>
      <c r="K46" s="41">
        <v>18380.29</v>
      </c>
      <c r="L46" s="41">
        <v>18380.29</v>
      </c>
      <c r="M46" s="41">
        <v>302087.46000000002</v>
      </c>
      <c r="N46" s="40">
        <v>0</v>
      </c>
      <c r="O46" s="41">
        <v>2224603.7999999998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1"/>
    </row>
    <row r="47" spans="1:3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1"/>
    </row>
    <row r="48" spans="1:31" x14ac:dyDescent="0.3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1"/>
    </row>
    <row r="49" spans="1:31" x14ac:dyDescent="0.3">
      <c r="A49" s="148" t="s">
        <v>173</v>
      </c>
      <c r="B49" s="149"/>
      <c r="C49" s="150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2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1"/>
    </row>
    <row r="50" spans="1:31" x14ac:dyDescent="0.3">
      <c r="A50" s="43" t="s">
        <v>174</v>
      </c>
      <c r="B50" s="44" t="s">
        <v>26</v>
      </c>
      <c r="C50" s="44" t="s">
        <v>27</v>
      </c>
      <c r="D50" s="44" t="s">
        <v>28</v>
      </c>
      <c r="E50" s="44" t="s">
        <v>29</v>
      </c>
      <c r="F50" s="46"/>
      <c r="G50" s="46"/>
      <c r="H50" s="46"/>
      <c r="I50" s="46"/>
      <c r="J50" s="45" t="s">
        <v>175</v>
      </c>
      <c r="K50" s="45" t="s">
        <v>36</v>
      </c>
      <c r="L50" s="45" t="s">
        <v>37</v>
      </c>
      <c r="M50" s="45" t="s">
        <v>38</v>
      </c>
      <c r="N50" s="47" t="s">
        <v>176</v>
      </c>
      <c r="O50" s="45" t="s">
        <v>177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1"/>
    </row>
    <row r="51" spans="1:31" x14ac:dyDescent="0.3">
      <c r="A51" s="32">
        <v>1</v>
      </c>
      <c r="B51" s="33">
        <v>1054</v>
      </c>
      <c r="C51" s="34">
        <v>45778</v>
      </c>
      <c r="D51" s="35" t="s">
        <v>510</v>
      </c>
      <c r="E51" s="33" t="s">
        <v>511</v>
      </c>
      <c r="F51" s="35"/>
      <c r="G51" s="35"/>
      <c r="H51" s="35"/>
      <c r="I51" s="35"/>
      <c r="J51" s="33">
        <v>975</v>
      </c>
      <c r="K51" s="33">
        <v>0</v>
      </c>
      <c r="L51" s="33">
        <v>0</v>
      </c>
      <c r="M51" s="33">
        <v>175.5</v>
      </c>
      <c r="N51" s="33">
        <v>0</v>
      </c>
      <c r="O51" s="38">
        <v>1150.5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1"/>
    </row>
    <row r="52" spans="1:31" x14ac:dyDescent="0.3">
      <c r="A52" s="32">
        <v>2</v>
      </c>
      <c r="B52" s="33">
        <v>610</v>
      </c>
      <c r="C52" s="34">
        <v>45779</v>
      </c>
      <c r="D52" s="35" t="s">
        <v>512</v>
      </c>
      <c r="E52" s="33" t="s">
        <v>369</v>
      </c>
      <c r="F52" s="35"/>
      <c r="G52" s="35"/>
      <c r="H52" s="35"/>
      <c r="I52" s="35"/>
      <c r="J52" s="114">
        <v>10200</v>
      </c>
      <c r="K52" s="33">
        <v>0</v>
      </c>
      <c r="L52" s="33">
        <v>0</v>
      </c>
      <c r="M52" s="33">
        <v>1836</v>
      </c>
      <c r="N52" s="33">
        <v>0</v>
      </c>
      <c r="O52" s="38">
        <v>12036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1"/>
    </row>
    <row r="53" spans="1:31" x14ac:dyDescent="0.3">
      <c r="A53" s="32">
        <v>3</v>
      </c>
      <c r="B53" s="33" t="s">
        <v>513</v>
      </c>
      <c r="C53" s="34">
        <v>45780</v>
      </c>
      <c r="D53" s="35" t="s">
        <v>205</v>
      </c>
      <c r="E53" s="33" t="s">
        <v>206</v>
      </c>
      <c r="F53" s="35"/>
      <c r="G53" s="35"/>
      <c r="H53" s="35"/>
      <c r="I53" s="35"/>
      <c r="J53" s="114">
        <v>1005320</v>
      </c>
      <c r="K53" s="33">
        <v>90478.8</v>
      </c>
      <c r="L53" s="33">
        <v>90478.8</v>
      </c>
      <c r="M53" s="33">
        <v>0</v>
      </c>
      <c r="N53" s="33">
        <v>0</v>
      </c>
      <c r="O53" s="38">
        <v>1186277.6000000001</v>
      </c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1"/>
    </row>
    <row r="54" spans="1:31" x14ac:dyDescent="0.3">
      <c r="A54" s="32">
        <v>4</v>
      </c>
      <c r="B54" s="33">
        <v>81</v>
      </c>
      <c r="C54" s="34">
        <v>45780</v>
      </c>
      <c r="D54" s="35" t="s">
        <v>514</v>
      </c>
      <c r="E54" s="33" t="s">
        <v>515</v>
      </c>
      <c r="F54" s="35"/>
      <c r="G54" s="35"/>
      <c r="H54" s="35"/>
      <c r="I54" s="35"/>
      <c r="J54" s="114">
        <v>3719.4</v>
      </c>
      <c r="K54" s="33">
        <v>334.74599999999998</v>
      </c>
      <c r="L54" s="33">
        <v>334.74599999999998</v>
      </c>
      <c r="M54" s="33">
        <v>0</v>
      </c>
      <c r="N54" s="33">
        <v>0</v>
      </c>
      <c r="O54" s="38">
        <v>4388.8900000000003</v>
      </c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1"/>
    </row>
    <row r="55" spans="1:31" x14ac:dyDescent="0.3">
      <c r="A55" s="32">
        <v>5</v>
      </c>
      <c r="B55" s="33" t="s">
        <v>516</v>
      </c>
      <c r="C55" s="34">
        <v>45782</v>
      </c>
      <c r="D55" s="35" t="s">
        <v>517</v>
      </c>
      <c r="E55" s="33" t="s">
        <v>518</v>
      </c>
      <c r="F55" s="35"/>
      <c r="G55" s="35"/>
      <c r="H55" s="35"/>
      <c r="I55" s="35"/>
      <c r="J55" s="114">
        <v>20897.66</v>
      </c>
      <c r="K55" s="33">
        <v>2925.6723999999999</v>
      </c>
      <c r="L55" s="33">
        <v>2925.6723999999999</v>
      </c>
      <c r="M55" s="33">
        <v>0</v>
      </c>
      <c r="N55" s="33">
        <v>0</v>
      </c>
      <c r="O55" s="38">
        <v>26749</v>
      </c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1"/>
    </row>
    <row r="56" spans="1:31" x14ac:dyDescent="0.3">
      <c r="A56" s="32">
        <v>6</v>
      </c>
      <c r="B56" s="33" t="s">
        <v>519</v>
      </c>
      <c r="C56" s="34">
        <v>45787</v>
      </c>
      <c r="D56" s="35" t="s">
        <v>189</v>
      </c>
      <c r="E56" s="33" t="s">
        <v>190</v>
      </c>
      <c r="F56" s="35"/>
      <c r="G56" s="35"/>
      <c r="H56" s="35"/>
      <c r="I56" s="35"/>
      <c r="J56" s="114">
        <v>71113</v>
      </c>
      <c r="K56" s="33">
        <v>0</v>
      </c>
      <c r="L56" s="33">
        <v>0</v>
      </c>
      <c r="M56" s="33">
        <v>12800.34</v>
      </c>
      <c r="N56" s="33">
        <v>0</v>
      </c>
      <c r="O56" s="38">
        <v>83913.34</v>
      </c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1"/>
    </row>
    <row r="57" spans="1:31" x14ac:dyDescent="0.3">
      <c r="A57" s="32">
        <v>7</v>
      </c>
      <c r="B57" s="33" t="s">
        <v>520</v>
      </c>
      <c r="C57" s="34">
        <v>45800</v>
      </c>
      <c r="D57" s="35" t="s">
        <v>205</v>
      </c>
      <c r="E57" s="33" t="s">
        <v>206</v>
      </c>
      <c r="F57" s="35"/>
      <c r="G57" s="35"/>
      <c r="H57" s="35"/>
      <c r="I57" s="35"/>
      <c r="J57" s="114">
        <v>5254</v>
      </c>
      <c r="K57" s="33">
        <v>472.86</v>
      </c>
      <c r="L57" s="33">
        <v>472.86</v>
      </c>
      <c r="M57" s="33">
        <v>0</v>
      </c>
      <c r="N57" s="33">
        <v>0</v>
      </c>
      <c r="O57" s="38">
        <v>6199.72</v>
      </c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1"/>
    </row>
    <row r="58" spans="1:31" x14ac:dyDescent="0.3">
      <c r="A58" s="32">
        <v>8</v>
      </c>
      <c r="B58" s="33" t="s">
        <v>521</v>
      </c>
      <c r="C58" s="34">
        <v>45801</v>
      </c>
      <c r="D58" s="35" t="s">
        <v>512</v>
      </c>
      <c r="E58" s="33" t="s">
        <v>369</v>
      </c>
      <c r="F58" s="35"/>
      <c r="G58" s="35"/>
      <c r="H58" s="35"/>
      <c r="I58" s="35"/>
      <c r="J58" s="114">
        <v>13200</v>
      </c>
      <c r="K58" s="33">
        <v>0</v>
      </c>
      <c r="L58" s="33">
        <v>0</v>
      </c>
      <c r="M58" s="33">
        <v>2376</v>
      </c>
      <c r="N58" s="33">
        <v>0</v>
      </c>
      <c r="O58" s="38">
        <v>15576</v>
      </c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1"/>
    </row>
    <row r="59" spans="1:31" x14ac:dyDescent="0.3">
      <c r="A59" s="32">
        <v>9</v>
      </c>
      <c r="B59" s="33">
        <v>82</v>
      </c>
      <c r="C59" s="34">
        <v>45804</v>
      </c>
      <c r="D59" s="35" t="s">
        <v>455</v>
      </c>
      <c r="E59" s="33" t="s">
        <v>116</v>
      </c>
      <c r="F59" s="35"/>
      <c r="G59" s="35"/>
      <c r="H59" s="35"/>
      <c r="I59" s="35"/>
      <c r="J59" s="33">
        <v>22500</v>
      </c>
      <c r="K59" s="33">
        <v>0</v>
      </c>
      <c r="L59" s="33">
        <v>0</v>
      </c>
      <c r="M59" s="33">
        <v>4050</v>
      </c>
      <c r="N59" s="33">
        <v>0</v>
      </c>
      <c r="O59" s="38">
        <v>26550</v>
      </c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1"/>
    </row>
    <row r="60" spans="1:31" x14ac:dyDescent="0.3">
      <c r="A60" s="32">
        <v>10</v>
      </c>
      <c r="B60" s="33">
        <v>2019</v>
      </c>
      <c r="C60" s="34">
        <v>45806</v>
      </c>
      <c r="D60" s="35" t="s">
        <v>113</v>
      </c>
      <c r="E60" s="33" t="s">
        <v>114</v>
      </c>
      <c r="F60" s="35"/>
      <c r="G60" s="35"/>
      <c r="H60" s="35"/>
      <c r="I60" s="35"/>
      <c r="J60" s="33">
        <v>41250</v>
      </c>
      <c r="K60" s="33">
        <v>3712.5</v>
      </c>
      <c r="L60" s="33">
        <v>3712.5</v>
      </c>
      <c r="M60" s="33">
        <v>0</v>
      </c>
      <c r="N60" s="33">
        <v>0</v>
      </c>
      <c r="O60" s="38">
        <v>48675</v>
      </c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1"/>
    </row>
    <row r="61" spans="1:31" x14ac:dyDescent="0.3">
      <c r="A61" s="32">
        <v>11</v>
      </c>
      <c r="B61" s="33">
        <v>2021</v>
      </c>
      <c r="C61" s="34">
        <v>45807</v>
      </c>
      <c r="D61" s="35" t="s">
        <v>113</v>
      </c>
      <c r="E61" s="33" t="s">
        <v>114</v>
      </c>
      <c r="F61" s="35"/>
      <c r="G61" s="35"/>
      <c r="H61" s="35"/>
      <c r="I61" s="35"/>
      <c r="J61" s="33">
        <v>91750</v>
      </c>
      <c r="K61" s="33">
        <v>8257.5</v>
      </c>
      <c r="L61" s="33">
        <v>8257.5</v>
      </c>
      <c r="M61" s="33">
        <v>0</v>
      </c>
      <c r="N61" s="33">
        <v>0</v>
      </c>
      <c r="O61" s="38">
        <v>108265</v>
      </c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1"/>
    </row>
    <row r="62" spans="1:31" x14ac:dyDescent="0.3">
      <c r="A62" s="32">
        <v>12</v>
      </c>
      <c r="B62" s="33">
        <v>85</v>
      </c>
      <c r="C62" s="34">
        <v>45807</v>
      </c>
      <c r="D62" s="35" t="s">
        <v>455</v>
      </c>
      <c r="E62" s="33" t="s">
        <v>116</v>
      </c>
      <c r="F62" s="35"/>
      <c r="G62" s="35"/>
      <c r="H62" s="35"/>
      <c r="I62" s="35"/>
      <c r="J62" s="33">
        <v>21188</v>
      </c>
      <c r="K62" s="33">
        <v>0</v>
      </c>
      <c r="L62" s="33">
        <v>0</v>
      </c>
      <c r="M62" s="33">
        <v>3813.84</v>
      </c>
      <c r="N62" s="33">
        <v>0</v>
      </c>
      <c r="O62" s="38">
        <v>25001.84</v>
      </c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1"/>
    </row>
    <row r="63" spans="1:31" x14ac:dyDescent="0.3">
      <c r="A63" s="39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7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1"/>
    </row>
    <row r="64" spans="1:31" x14ac:dyDescent="0.3">
      <c r="A64" s="39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7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1"/>
    </row>
    <row r="65" spans="1:31" x14ac:dyDescent="0.3">
      <c r="A65" s="39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7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1"/>
    </row>
    <row r="66" spans="1:31" x14ac:dyDescent="0.3">
      <c r="A66" s="39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7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1"/>
    </row>
    <row r="67" spans="1:31" x14ac:dyDescent="0.3">
      <c r="A67" s="39"/>
      <c r="B67" s="35"/>
      <c r="C67" s="35"/>
      <c r="D67" s="35"/>
      <c r="E67" s="35"/>
      <c r="F67" s="35"/>
      <c r="G67" s="35"/>
      <c r="H67" s="35"/>
      <c r="I67" s="35"/>
      <c r="J67" s="35"/>
      <c r="K67" s="37"/>
      <c r="L67" s="35"/>
      <c r="M67" s="35"/>
      <c r="N67" s="35"/>
      <c r="O67" s="35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1"/>
    </row>
    <row r="68" spans="1:31" x14ac:dyDescent="0.3">
      <c r="A68" s="39"/>
      <c r="B68" s="35"/>
      <c r="C68" s="35"/>
      <c r="D68" s="35"/>
      <c r="E68" s="35"/>
      <c r="F68" s="35"/>
      <c r="G68" s="35"/>
      <c r="H68" s="35"/>
      <c r="I68" s="35"/>
      <c r="J68" s="35"/>
      <c r="K68" s="37"/>
      <c r="L68" s="35"/>
      <c r="M68" s="35"/>
      <c r="N68" s="35"/>
      <c r="O68" s="35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1"/>
    </row>
    <row r="69" spans="1:31" x14ac:dyDescent="0.3">
      <c r="A69" s="39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1"/>
    </row>
    <row r="70" spans="1:31" x14ac:dyDescent="0.3">
      <c r="A70" s="39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1"/>
    </row>
    <row r="71" spans="1:31" x14ac:dyDescent="0.3">
      <c r="A71" s="39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1"/>
    </row>
    <row r="72" spans="1:31" x14ac:dyDescent="0.3">
      <c r="A72" s="39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1"/>
    </row>
    <row r="73" spans="1:31" x14ac:dyDescent="0.3">
      <c r="A73" s="39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1"/>
    </row>
    <row r="74" spans="1:31" x14ac:dyDescent="0.3">
      <c r="A74" s="39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1"/>
    </row>
    <row r="75" spans="1:31" x14ac:dyDescent="0.3">
      <c r="A75" s="39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1"/>
    </row>
    <row r="76" spans="1:31" x14ac:dyDescent="0.3">
      <c r="A76" s="145" t="s">
        <v>172</v>
      </c>
      <c r="B76" s="146"/>
      <c r="C76" s="146"/>
      <c r="D76" s="146"/>
      <c r="E76" s="147"/>
      <c r="F76" s="37"/>
      <c r="G76" s="37"/>
      <c r="H76" s="37"/>
      <c r="I76" s="37"/>
      <c r="J76" s="50">
        <v>1307367.06</v>
      </c>
      <c r="K76" s="51">
        <v>106182.0784</v>
      </c>
      <c r="L76" s="51">
        <v>106182.0784</v>
      </c>
      <c r="M76" s="51">
        <v>25051.68</v>
      </c>
      <c r="N76" s="51">
        <v>0</v>
      </c>
      <c r="O76" s="50">
        <v>1544782.9</v>
      </c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1"/>
    </row>
    <row r="77" spans="1:3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1"/>
    </row>
    <row r="78" spans="1:31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1"/>
    </row>
    <row r="79" spans="1:31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1"/>
    </row>
    <row r="80" spans="1:3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1"/>
    </row>
    <row r="81" spans="1:31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1"/>
    </row>
    <row r="82" spans="1:3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1"/>
    </row>
    <row r="83" spans="1:3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1"/>
    </row>
    <row r="84" spans="1:3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1"/>
    </row>
    <row r="85" spans="1:31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1"/>
    </row>
    <row r="86" spans="1:3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1"/>
    </row>
    <row r="87" spans="1:3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1"/>
    </row>
    <row r="88" spans="1:31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1"/>
    </row>
    <row r="89" spans="1:31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1"/>
    </row>
    <row r="90" spans="1:31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1"/>
    </row>
    <row r="91" spans="1:31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1"/>
    </row>
    <row r="92" spans="1:31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1"/>
    </row>
    <row r="93" spans="1:31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1"/>
    </row>
    <row r="94" spans="1:31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1"/>
    </row>
    <row r="95" spans="1:31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1"/>
    </row>
    <row r="96" spans="1:31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1"/>
    </row>
    <row r="97" spans="1:31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1"/>
    </row>
    <row r="98" spans="1:31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1"/>
    </row>
    <row r="99" spans="1:3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1"/>
    </row>
    <row r="100" spans="1:3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1"/>
    </row>
    <row r="101" spans="1:3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1"/>
    </row>
    <row r="102" spans="1:31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1"/>
    </row>
    <row r="103" spans="1:3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1"/>
    </row>
    <row r="104" spans="1:31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1"/>
    </row>
    <row r="105" spans="1:31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1"/>
    </row>
    <row r="106" spans="1:31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1"/>
    </row>
    <row r="107" spans="1:3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1"/>
    </row>
    <row r="108" spans="1:31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1"/>
    </row>
    <row r="109" spans="1:31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1"/>
    </row>
    <row r="110" spans="1:31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1"/>
    </row>
    <row r="111" spans="1:31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1"/>
    </row>
    <row r="112" spans="1:31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1"/>
    </row>
    <row r="113" spans="1:3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1"/>
    </row>
    <row r="114" spans="1:31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1"/>
    </row>
    <row r="115" spans="1:3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1"/>
    </row>
    <row r="116" spans="1:31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1"/>
    </row>
    <row r="117" spans="1:31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1"/>
    </row>
    <row r="118" spans="1:3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1"/>
    </row>
    <row r="119" spans="1:3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1"/>
    </row>
    <row r="120" spans="1:3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1"/>
    </row>
    <row r="121" spans="1:31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1"/>
    </row>
    <row r="122" spans="1:31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1"/>
    </row>
    <row r="123" spans="1:31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1"/>
    </row>
    <row r="124" spans="1:31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1"/>
    </row>
    <row r="125" spans="1:31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1"/>
    </row>
    <row r="126" spans="1:31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1"/>
    </row>
    <row r="127" spans="1:31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1"/>
    </row>
    <row r="128" spans="1:31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1"/>
    </row>
    <row r="129" spans="1:31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1"/>
    </row>
    <row r="130" spans="1:31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1"/>
    </row>
    <row r="131" spans="1:31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1"/>
    </row>
    <row r="132" spans="1:31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1"/>
    </row>
    <row r="133" spans="1:31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1"/>
    </row>
    <row r="134" spans="1:31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1"/>
    </row>
    <row r="135" spans="1:31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1"/>
    </row>
    <row r="136" spans="1:31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1"/>
    </row>
    <row r="137" spans="1:31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1"/>
    </row>
    <row r="138" spans="1:31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1"/>
    </row>
    <row r="139" spans="1:31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1"/>
    </row>
    <row r="140" spans="1:31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1"/>
    </row>
    <row r="141" spans="1:31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1"/>
    </row>
    <row r="142" spans="1:31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1"/>
    </row>
    <row r="143" spans="1:31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1"/>
    </row>
    <row r="144" spans="1:31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1"/>
    </row>
    <row r="145" spans="1:31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1"/>
    </row>
    <row r="146" spans="1:31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1"/>
    </row>
    <row r="147" spans="1:31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1"/>
    </row>
    <row r="148" spans="1:31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1"/>
    </row>
    <row r="149" spans="1:31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1"/>
    </row>
    <row r="150" spans="1:31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1"/>
    </row>
    <row r="151" spans="1:31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1"/>
    </row>
    <row r="152" spans="1:31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1"/>
    </row>
    <row r="153" spans="1:31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1"/>
    </row>
    <row r="154" spans="1:31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1"/>
    </row>
    <row r="155" spans="1:3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1"/>
    </row>
    <row r="156" spans="1:31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1"/>
    </row>
    <row r="157" spans="1:31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1"/>
    </row>
    <row r="158" spans="1:31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1"/>
    </row>
    <row r="159" spans="1:31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1"/>
    </row>
    <row r="160" spans="1:31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1"/>
    </row>
    <row r="161" spans="1:31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1"/>
    </row>
    <row r="162" spans="1:3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1"/>
    </row>
    <row r="163" spans="1:31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1"/>
    </row>
    <row r="164" spans="1:31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1"/>
    </row>
    <row r="165" spans="1:3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1"/>
    </row>
    <row r="166" spans="1:3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1"/>
    </row>
    <row r="167" spans="1:3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1"/>
    </row>
    <row r="168" spans="1:3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1"/>
    </row>
    <row r="169" spans="1:3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1"/>
    </row>
    <row r="170" spans="1:3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1"/>
    </row>
    <row r="171" spans="1:3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1"/>
    </row>
    <row r="172" spans="1:3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1"/>
    </row>
    <row r="173" spans="1:3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1"/>
    </row>
    <row r="174" spans="1:3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1"/>
    </row>
    <row r="175" spans="1:3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1"/>
    </row>
    <row r="176" spans="1:3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1"/>
    </row>
    <row r="177" spans="1:3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1"/>
    </row>
    <row r="178" spans="1:3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1"/>
    </row>
    <row r="179" spans="1:3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1"/>
    </row>
    <row r="180" spans="1:3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1"/>
    </row>
    <row r="181" spans="1:3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1"/>
    </row>
    <row r="182" spans="1:3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1"/>
    </row>
    <row r="183" spans="1:3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1"/>
    </row>
    <row r="184" spans="1:3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1"/>
    </row>
    <row r="185" spans="1:3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1"/>
    </row>
    <row r="186" spans="1:3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1"/>
    </row>
    <row r="187" spans="1:3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1"/>
    </row>
    <row r="188" spans="1:3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1"/>
    </row>
    <row r="189" spans="1:3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1"/>
    </row>
    <row r="190" spans="1:3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1"/>
    </row>
    <row r="191" spans="1:3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1"/>
    </row>
    <row r="192" spans="1:3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1"/>
    </row>
    <row r="193" spans="1:3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1"/>
    </row>
    <row r="194" spans="1:3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1"/>
    </row>
    <row r="195" spans="1:3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1"/>
    </row>
    <row r="196" spans="1:3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1"/>
    </row>
    <row r="197" spans="1:3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1"/>
    </row>
    <row r="198" spans="1:3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1"/>
    </row>
    <row r="199" spans="1:3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1"/>
    </row>
    <row r="200" spans="1:3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1"/>
    </row>
    <row r="201" spans="1:3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1"/>
    </row>
    <row r="202" spans="1:3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1"/>
    </row>
    <row r="203" spans="1:3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1"/>
    </row>
    <row r="204" spans="1:3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1"/>
    </row>
    <row r="205" spans="1:3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1"/>
    </row>
    <row r="206" spans="1:3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1"/>
    </row>
    <row r="207" spans="1:3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1"/>
    </row>
    <row r="208" spans="1:3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1"/>
    </row>
    <row r="209" spans="1:3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1"/>
    </row>
    <row r="210" spans="1:3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1"/>
    </row>
    <row r="211" spans="1:3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1"/>
    </row>
    <row r="212" spans="1:3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1"/>
    </row>
    <row r="213" spans="1:3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1"/>
    </row>
    <row r="214" spans="1:3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1"/>
    </row>
    <row r="215" spans="1:3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1"/>
    </row>
    <row r="216" spans="1:3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1"/>
    </row>
    <row r="217" spans="1:3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1"/>
    </row>
    <row r="218" spans="1:3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1"/>
    </row>
    <row r="219" spans="1:3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1"/>
    </row>
    <row r="220" spans="1:3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1"/>
    </row>
    <row r="221" spans="1:3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1"/>
    </row>
    <row r="222" spans="1:3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1"/>
    </row>
    <row r="223" spans="1:3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1"/>
    </row>
    <row r="224" spans="1:3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1"/>
    </row>
    <row r="225" spans="1:3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1"/>
    </row>
    <row r="226" spans="1:3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1"/>
    </row>
    <row r="227" spans="1:3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1"/>
    </row>
    <row r="228" spans="1:3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1"/>
    </row>
    <row r="229" spans="1:3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1"/>
    </row>
    <row r="230" spans="1:3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1"/>
    </row>
    <row r="231" spans="1:3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1"/>
    </row>
    <row r="232" spans="1:3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1"/>
    </row>
    <row r="233" spans="1:3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1"/>
    </row>
    <row r="234" spans="1:3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1"/>
    </row>
    <row r="235" spans="1:3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1"/>
    </row>
    <row r="236" spans="1:3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1"/>
    </row>
    <row r="237" spans="1:3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1"/>
    </row>
    <row r="238" spans="1:3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1"/>
    </row>
    <row r="239" spans="1:3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1"/>
    </row>
    <row r="240" spans="1:3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1"/>
    </row>
    <row r="241" spans="1:3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1"/>
    </row>
    <row r="242" spans="1:3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1"/>
    </row>
    <row r="243" spans="1:3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1"/>
    </row>
    <row r="244" spans="1:3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1"/>
    </row>
    <row r="245" spans="1:3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1"/>
    </row>
    <row r="246" spans="1:3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1"/>
    </row>
    <row r="247" spans="1:3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1"/>
    </row>
    <row r="248" spans="1:3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1"/>
    </row>
    <row r="249" spans="1:3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1"/>
    </row>
    <row r="250" spans="1:3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1"/>
    </row>
    <row r="251" spans="1:3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1"/>
    </row>
    <row r="252" spans="1:3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1"/>
    </row>
    <row r="253" spans="1:3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1"/>
    </row>
    <row r="254" spans="1:3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1"/>
    </row>
    <row r="255" spans="1:3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1"/>
    </row>
    <row r="256" spans="1:3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1"/>
    </row>
    <row r="257" spans="1:3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1"/>
    </row>
    <row r="258" spans="1:3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1"/>
    </row>
    <row r="259" spans="1:3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1"/>
    </row>
    <row r="260" spans="1:3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1"/>
    </row>
    <row r="261" spans="1:3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1"/>
    </row>
    <row r="262" spans="1:3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1"/>
    </row>
    <row r="263" spans="1:3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1"/>
    </row>
    <row r="264" spans="1:3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1"/>
    </row>
    <row r="265" spans="1:3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1"/>
    </row>
    <row r="266" spans="1:3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1"/>
    </row>
    <row r="267" spans="1:3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1"/>
    </row>
    <row r="268" spans="1:3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1"/>
    </row>
    <row r="269" spans="1:3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1"/>
    </row>
    <row r="270" spans="1:3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1"/>
    </row>
    <row r="271" spans="1:3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1"/>
    </row>
    <row r="272" spans="1:3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1"/>
    </row>
    <row r="273" spans="1:3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1"/>
    </row>
    <row r="274" spans="1:3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1"/>
    </row>
    <row r="275" spans="1:3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1"/>
    </row>
    <row r="276" spans="1:3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1"/>
    </row>
    <row r="277" spans="1:3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1"/>
    </row>
    <row r="278" spans="1:3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1"/>
    </row>
    <row r="279" spans="1:3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1"/>
    </row>
    <row r="280" spans="1:3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1"/>
    </row>
    <row r="281" spans="1:3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1"/>
    </row>
    <row r="282" spans="1:3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1"/>
    </row>
    <row r="283" spans="1:3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1"/>
    </row>
    <row r="284" spans="1:3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1"/>
    </row>
    <row r="285" spans="1:3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1"/>
    </row>
    <row r="286" spans="1:3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1"/>
    </row>
    <row r="287" spans="1:3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1"/>
    </row>
    <row r="288" spans="1:3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1"/>
    </row>
    <row r="289" spans="1:3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1"/>
    </row>
    <row r="290" spans="1:3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1"/>
    </row>
    <row r="291" spans="1:3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1"/>
    </row>
    <row r="292" spans="1:3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1"/>
    </row>
    <row r="293" spans="1:3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1"/>
    </row>
    <row r="294" spans="1:3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1"/>
    </row>
    <row r="295" spans="1:3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1"/>
    </row>
    <row r="296" spans="1:3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1"/>
    </row>
    <row r="297" spans="1:3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1"/>
    </row>
    <row r="298" spans="1:3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1"/>
    </row>
    <row r="299" spans="1:3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1"/>
    </row>
    <row r="300" spans="1:3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1"/>
    </row>
    <row r="301" spans="1:3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1"/>
    </row>
    <row r="302" spans="1:3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1"/>
    </row>
    <row r="303" spans="1:3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1"/>
    </row>
    <row r="304" spans="1:3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1"/>
    </row>
    <row r="305" spans="1:3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1"/>
    </row>
    <row r="306" spans="1:3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1"/>
    </row>
    <row r="307" spans="1:3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1"/>
    </row>
    <row r="308" spans="1:3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1"/>
    </row>
    <row r="309" spans="1:3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1"/>
    </row>
    <row r="310" spans="1:3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1"/>
    </row>
    <row r="311" spans="1:3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1"/>
    </row>
    <row r="312" spans="1:3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1"/>
    </row>
    <row r="313" spans="1:3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1"/>
    </row>
    <row r="314" spans="1:3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1"/>
    </row>
    <row r="315" spans="1:3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1"/>
    </row>
    <row r="316" spans="1:3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1"/>
    </row>
    <row r="317" spans="1:3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1"/>
    </row>
    <row r="318" spans="1:3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1"/>
    </row>
    <row r="319" spans="1:3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1"/>
    </row>
    <row r="320" spans="1:3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1"/>
    </row>
    <row r="321" spans="1:3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1"/>
    </row>
    <row r="322" spans="1:3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1"/>
    </row>
    <row r="323" spans="1:3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1"/>
    </row>
    <row r="324" spans="1:3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1"/>
    </row>
    <row r="325" spans="1:3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1"/>
    </row>
    <row r="326" spans="1:3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1"/>
    </row>
    <row r="327" spans="1:3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1"/>
    </row>
    <row r="328" spans="1:3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1"/>
    </row>
    <row r="329" spans="1:3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1"/>
    </row>
    <row r="330" spans="1:3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1"/>
    </row>
    <row r="331" spans="1:3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1"/>
    </row>
    <row r="332" spans="1:3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1"/>
    </row>
    <row r="333" spans="1:3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1"/>
    </row>
    <row r="334" spans="1:3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1"/>
    </row>
    <row r="335" spans="1:3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1"/>
    </row>
    <row r="336" spans="1:3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1"/>
    </row>
    <row r="337" spans="1:3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1"/>
    </row>
    <row r="338" spans="1:3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1"/>
    </row>
    <row r="339" spans="1:3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1"/>
    </row>
    <row r="340" spans="1:3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1"/>
    </row>
    <row r="341" spans="1:3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1"/>
    </row>
    <row r="342" spans="1:3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1"/>
    </row>
    <row r="343" spans="1:3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1"/>
    </row>
    <row r="344" spans="1:3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1"/>
    </row>
    <row r="345" spans="1:3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1"/>
    </row>
    <row r="346" spans="1:3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1"/>
    </row>
    <row r="347" spans="1:3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1"/>
    </row>
    <row r="348" spans="1:3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1"/>
    </row>
    <row r="349" spans="1:3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1"/>
    </row>
    <row r="350" spans="1:3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1"/>
    </row>
    <row r="351" spans="1:3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1"/>
    </row>
    <row r="352" spans="1:3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1"/>
    </row>
    <row r="353" spans="1:3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1"/>
    </row>
    <row r="354" spans="1:3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1"/>
    </row>
    <row r="355" spans="1:3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1"/>
    </row>
    <row r="356" spans="1:3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1"/>
    </row>
    <row r="357" spans="1:3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1"/>
    </row>
    <row r="358" spans="1:3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1"/>
    </row>
    <row r="359" spans="1:3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1"/>
    </row>
    <row r="360" spans="1:3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1"/>
    </row>
    <row r="361" spans="1:3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1"/>
    </row>
    <row r="362" spans="1:3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1"/>
    </row>
    <row r="363" spans="1:3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1"/>
    </row>
    <row r="364" spans="1:3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1"/>
    </row>
    <row r="365" spans="1:3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1"/>
    </row>
    <row r="366" spans="1:3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1"/>
    </row>
    <row r="367" spans="1:3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1"/>
    </row>
    <row r="368" spans="1:3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1"/>
    </row>
    <row r="369" spans="1:3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1"/>
    </row>
    <row r="370" spans="1:3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1"/>
    </row>
    <row r="371" spans="1:3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1"/>
    </row>
    <row r="372" spans="1:3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1"/>
    </row>
    <row r="373" spans="1:3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1"/>
    </row>
    <row r="374" spans="1:3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1"/>
    </row>
    <row r="375" spans="1:3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1"/>
    </row>
    <row r="376" spans="1:3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1"/>
    </row>
    <row r="377" spans="1:3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1"/>
    </row>
    <row r="378" spans="1:3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1"/>
    </row>
    <row r="379" spans="1:3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1"/>
    </row>
    <row r="380" spans="1:3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1"/>
    </row>
    <row r="381" spans="1:3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1"/>
    </row>
    <row r="382" spans="1:3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1"/>
    </row>
    <row r="383" spans="1:3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1"/>
    </row>
    <row r="384" spans="1:3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1"/>
    </row>
    <row r="385" spans="1:3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1"/>
    </row>
    <row r="386" spans="1:3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1"/>
    </row>
    <row r="387" spans="1:3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1"/>
    </row>
    <row r="388" spans="1:3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1"/>
    </row>
    <row r="389" spans="1:3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1"/>
    </row>
    <row r="390" spans="1:3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1"/>
    </row>
    <row r="391" spans="1:3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1"/>
    </row>
    <row r="392" spans="1:3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1"/>
    </row>
    <row r="393" spans="1:3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1"/>
    </row>
    <row r="394" spans="1:3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1"/>
    </row>
    <row r="395" spans="1:3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1"/>
    </row>
    <row r="396" spans="1:3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1"/>
    </row>
    <row r="397" spans="1:3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1"/>
    </row>
    <row r="398" spans="1:3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1"/>
    </row>
    <row r="399" spans="1:3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1"/>
    </row>
    <row r="400" spans="1:3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1"/>
    </row>
    <row r="401" spans="1:3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1"/>
    </row>
    <row r="402" spans="1:3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1"/>
    </row>
    <row r="403" spans="1:3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1"/>
    </row>
    <row r="404" spans="1:3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1"/>
    </row>
    <row r="405" spans="1:3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1"/>
    </row>
    <row r="406" spans="1:3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1"/>
    </row>
    <row r="407" spans="1:3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1"/>
    </row>
    <row r="408" spans="1:3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1"/>
    </row>
    <row r="409" spans="1:3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1"/>
    </row>
    <row r="410" spans="1:3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1"/>
    </row>
    <row r="411" spans="1:3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1"/>
    </row>
    <row r="412" spans="1:3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1"/>
    </row>
    <row r="413" spans="1:3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1"/>
    </row>
    <row r="414" spans="1:3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1"/>
    </row>
    <row r="415" spans="1:3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1"/>
    </row>
    <row r="416" spans="1:3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1"/>
    </row>
    <row r="417" spans="1:3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1"/>
    </row>
    <row r="418" spans="1:3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1"/>
    </row>
    <row r="419" spans="1:3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1"/>
    </row>
    <row r="420" spans="1:3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1"/>
    </row>
    <row r="421" spans="1:3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1"/>
    </row>
    <row r="422" spans="1:3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1"/>
    </row>
    <row r="423" spans="1:3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1"/>
    </row>
    <row r="424" spans="1:3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1"/>
    </row>
    <row r="425" spans="1:3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1"/>
    </row>
    <row r="426" spans="1:3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1"/>
    </row>
    <row r="427" spans="1:3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1"/>
    </row>
    <row r="428" spans="1:3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1"/>
    </row>
    <row r="429" spans="1:3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1"/>
    </row>
    <row r="430" spans="1:3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1"/>
    </row>
    <row r="431" spans="1:3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1"/>
    </row>
    <row r="432" spans="1:3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1"/>
    </row>
    <row r="433" spans="1:3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1"/>
    </row>
    <row r="434" spans="1:3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1"/>
    </row>
    <row r="435" spans="1:3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1"/>
    </row>
    <row r="436" spans="1:3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1"/>
    </row>
    <row r="437" spans="1:3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1"/>
    </row>
    <row r="438" spans="1:3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1"/>
    </row>
    <row r="439" spans="1:3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1"/>
    </row>
    <row r="440" spans="1:3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1"/>
    </row>
    <row r="441" spans="1:3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1"/>
    </row>
    <row r="442" spans="1:3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1"/>
    </row>
    <row r="443" spans="1:3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1"/>
    </row>
    <row r="444" spans="1:3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1"/>
    </row>
    <row r="445" spans="1:3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1"/>
    </row>
    <row r="446" spans="1:3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1"/>
    </row>
    <row r="447" spans="1:3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1"/>
    </row>
    <row r="448" spans="1:3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1"/>
    </row>
    <row r="449" spans="1:3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1"/>
    </row>
    <row r="450" spans="1:3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1"/>
    </row>
    <row r="451" spans="1:3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1"/>
    </row>
    <row r="452" spans="1:3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1"/>
    </row>
    <row r="453" spans="1:3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1"/>
    </row>
    <row r="454" spans="1:3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1"/>
    </row>
    <row r="455" spans="1:3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1"/>
    </row>
    <row r="456" spans="1:3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1"/>
    </row>
    <row r="457" spans="1:3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1"/>
    </row>
    <row r="458" spans="1:3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1"/>
    </row>
    <row r="459" spans="1:3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1"/>
    </row>
    <row r="460" spans="1:3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1"/>
    </row>
    <row r="461" spans="1:3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1"/>
    </row>
    <row r="462" spans="1:3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1"/>
    </row>
    <row r="463" spans="1:3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1"/>
    </row>
    <row r="464" spans="1:3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1"/>
    </row>
    <row r="465" spans="1:3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1"/>
    </row>
    <row r="466" spans="1:3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1"/>
    </row>
    <row r="467" spans="1:3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1"/>
    </row>
    <row r="468" spans="1:3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1"/>
    </row>
    <row r="469" spans="1:3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1"/>
    </row>
    <row r="470" spans="1:3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1"/>
    </row>
    <row r="471" spans="1:3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1"/>
    </row>
    <row r="472" spans="1:3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1"/>
    </row>
    <row r="473" spans="1:3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1"/>
    </row>
    <row r="474" spans="1:3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1"/>
    </row>
    <row r="475" spans="1:3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1"/>
    </row>
    <row r="476" spans="1:3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1"/>
    </row>
    <row r="477" spans="1:3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1"/>
    </row>
    <row r="478" spans="1:3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1"/>
    </row>
    <row r="479" spans="1:3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1"/>
    </row>
    <row r="480" spans="1:3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1"/>
    </row>
    <row r="481" spans="1:3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1"/>
    </row>
    <row r="482" spans="1:3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1"/>
    </row>
    <row r="483" spans="1:3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1"/>
    </row>
    <row r="484" spans="1:3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1"/>
    </row>
    <row r="485" spans="1:3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1"/>
    </row>
    <row r="486" spans="1:3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1"/>
    </row>
    <row r="487" spans="1:3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1"/>
    </row>
    <row r="488" spans="1:3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1"/>
    </row>
    <row r="489" spans="1:3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1"/>
    </row>
    <row r="490" spans="1:3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1"/>
    </row>
    <row r="491" spans="1:3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1"/>
    </row>
    <row r="492" spans="1:3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1"/>
    </row>
    <row r="493" spans="1:3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1"/>
    </row>
    <row r="494" spans="1:3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1"/>
    </row>
    <row r="495" spans="1:3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1"/>
    </row>
    <row r="496" spans="1:3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1"/>
    </row>
    <row r="497" spans="1:3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1"/>
    </row>
    <row r="498" spans="1:3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1"/>
    </row>
    <row r="499" spans="1:3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1"/>
    </row>
    <row r="500" spans="1:3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1"/>
    </row>
    <row r="501" spans="1:3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1"/>
    </row>
    <row r="502" spans="1:3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1"/>
    </row>
    <row r="503" spans="1:3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1"/>
    </row>
    <row r="504" spans="1:3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1"/>
    </row>
    <row r="505" spans="1:3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1"/>
    </row>
    <row r="506" spans="1:3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1"/>
    </row>
    <row r="507" spans="1:3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1"/>
    </row>
    <row r="508" spans="1:3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1"/>
    </row>
    <row r="509" spans="1:3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1"/>
    </row>
    <row r="510" spans="1:3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1"/>
    </row>
    <row r="511" spans="1:3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1"/>
    </row>
    <row r="512" spans="1:3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1"/>
    </row>
    <row r="513" spans="1:3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1"/>
    </row>
    <row r="514" spans="1:3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1"/>
    </row>
    <row r="515" spans="1:3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1"/>
    </row>
    <row r="516" spans="1:3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1"/>
    </row>
    <row r="517" spans="1:3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1"/>
    </row>
    <row r="518" spans="1:3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1"/>
    </row>
    <row r="519" spans="1:3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1"/>
    </row>
    <row r="520" spans="1:3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1"/>
    </row>
    <row r="521" spans="1:3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1"/>
    </row>
    <row r="522" spans="1:3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1"/>
    </row>
    <row r="523" spans="1:3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1"/>
    </row>
    <row r="524" spans="1:3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1"/>
    </row>
    <row r="525" spans="1:3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1"/>
    </row>
    <row r="526" spans="1:3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1"/>
    </row>
    <row r="527" spans="1:3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1"/>
    </row>
    <row r="528" spans="1:3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1"/>
    </row>
    <row r="529" spans="1:3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1"/>
    </row>
    <row r="530" spans="1:3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1"/>
    </row>
    <row r="531" spans="1:3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1"/>
    </row>
    <row r="532" spans="1:3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1"/>
    </row>
    <row r="533" spans="1:3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1"/>
    </row>
    <row r="534" spans="1:3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1"/>
    </row>
    <row r="535" spans="1:3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1"/>
    </row>
    <row r="536" spans="1:3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1"/>
    </row>
    <row r="537" spans="1:3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1"/>
    </row>
    <row r="538" spans="1:3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1"/>
    </row>
    <row r="539" spans="1:3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1"/>
    </row>
    <row r="540" spans="1:3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1"/>
    </row>
    <row r="541" spans="1:3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1"/>
    </row>
    <row r="542" spans="1:3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1"/>
    </row>
    <row r="543" spans="1:3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1"/>
    </row>
    <row r="544" spans="1:3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1"/>
    </row>
    <row r="545" spans="1:3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1"/>
    </row>
    <row r="546" spans="1:3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1"/>
    </row>
    <row r="547" spans="1:3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1"/>
    </row>
    <row r="548" spans="1:3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1"/>
    </row>
    <row r="549" spans="1:3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1"/>
    </row>
    <row r="550" spans="1:3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1"/>
    </row>
    <row r="551" spans="1:3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1"/>
    </row>
    <row r="552" spans="1:3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1"/>
    </row>
    <row r="553" spans="1:3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1"/>
    </row>
    <row r="554" spans="1:3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1"/>
    </row>
    <row r="555" spans="1:3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1"/>
    </row>
    <row r="556" spans="1:3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1"/>
    </row>
    <row r="557" spans="1:3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1"/>
    </row>
    <row r="558" spans="1:3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1"/>
    </row>
    <row r="559" spans="1:3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1"/>
    </row>
    <row r="560" spans="1:3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1"/>
    </row>
    <row r="561" spans="1:3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1"/>
    </row>
    <row r="562" spans="1:3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1"/>
    </row>
    <row r="563" spans="1:3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1"/>
    </row>
    <row r="564" spans="1:3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1"/>
    </row>
    <row r="565" spans="1:3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1"/>
    </row>
    <row r="566" spans="1:3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1"/>
    </row>
    <row r="567" spans="1:3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1"/>
    </row>
    <row r="568" spans="1:3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1"/>
    </row>
    <row r="569" spans="1:3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1"/>
    </row>
    <row r="570" spans="1:3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1"/>
    </row>
    <row r="571" spans="1:3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1"/>
    </row>
    <row r="572" spans="1:3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1"/>
    </row>
    <row r="573" spans="1:3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1"/>
    </row>
    <row r="574" spans="1:3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1"/>
    </row>
    <row r="575" spans="1:3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1"/>
    </row>
    <row r="576" spans="1:3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1"/>
    </row>
    <row r="577" spans="1:3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1"/>
    </row>
    <row r="578" spans="1:3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1"/>
    </row>
    <row r="579" spans="1:3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1"/>
    </row>
    <row r="580" spans="1:3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1"/>
    </row>
    <row r="581" spans="1:3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1"/>
    </row>
    <row r="582" spans="1:3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1"/>
    </row>
    <row r="583" spans="1:3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1"/>
    </row>
    <row r="584" spans="1:3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1"/>
    </row>
    <row r="585" spans="1:3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1"/>
    </row>
    <row r="586" spans="1:3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1"/>
    </row>
    <row r="587" spans="1:3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1"/>
    </row>
    <row r="588" spans="1:3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1"/>
    </row>
    <row r="589" spans="1:3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1"/>
    </row>
    <row r="590" spans="1:3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1"/>
    </row>
    <row r="591" spans="1:3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1"/>
    </row>
    <row r="592" spans="1:3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1"/>
    </row>
    <row r="593" spans="1:3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1"/>
    </row>
    <row r="594" spans="1:3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1"/>
    </row>
    <row r="595" spans="1:3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1"/>
    </row>
    <row r="596" spans="1:3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1"/>
    </row>
    <row r="597" spans="1:3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1"/>
    </row>
    <row r="598" spans="1:3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1"/>
    </row>
    <row r="599" spans="1:3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1"/>
    </row>
    <row r="600" spans="1:3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1"/>
    </row>
    <row r="601" spans="1:3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1"/>
    </row>
    <row r="602" spans="1:3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1"/>
    </row>
    <row r="603" spans="1:3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1"/>
    </row>
    <row r="604" spans="1:3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1"/>
    </row>
    <row r="605" spans="1:3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1"/>
    </row>
    <row r="606" spans="1:3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1"/>
    </row>
    <row r="607" spans="1:3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1"/>
    </row>
    <row r="608" spans="1:3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1"/>
    </row>
    <row r="609" spans="1:3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1"/>
    </row>
    <row r="610" spans="1:3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1"/>
    </row>
    <row r="611" spans="1:3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1"/>
    </row>
    <row r="612" spans="1:3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1"/>
    </row>
    <row r="613" spans="1:3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1"/>
    </row>
    <row r="614" spans="1:3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1"/>
    </row>
    <row r="615" spans="1:3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1"/>
    </row>
    <row r="616" spans="1:3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1"/>
    </row>
    <row r="617" spans="1:3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1"/>
    </row>
    <row r="618" spans="1:3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1"/>
    </row>
    <row r="619" spans="1:3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1"/>
    </row>
    <row r="620" spans="1:3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1"/>
    </row>
    <row r="621" spans="1:3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1"/>
    </row>
    <row r="622" spans="1:3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1"/>
    </row>
    <row r="623" spans="1:3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1"/>
    </row>
    <row r="624" spans="1:3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1"/>
    </row>
    <row r="625" spans="1:3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1"/>
    </row>
    <row r="626" spans="1:3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1"/>
    </row>
    <row r="627" spans="1:3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1"/>
    </row>
    <row r="628" spans="1:3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1"/>
    </row>
    <row r="629" spans="1:3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1"/>
    </row>
    <row r="630" spans="1:3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1"/>
    </row>
    <row r="631" spans="1:3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1"/>
    </row>
    <row r="632" spans="1:3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1"/>
    </row>
    <row r="633" spans="1:3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1"/>
    </row>
    <row r="634" spans="1:3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1"/>
    </row>
    <row r="635" spans="1:3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1"/>
    </row>
    <row r="636" spans="1:3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1"/>
    </row>
    <row r="637" spans="1:3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1"/>
    </row>
    <row r="638" spans="1:3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1"/>
    </row>
    <row r="639" spans="1:3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1"/>
    </row>
    <row r="640" spans="1:3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1"/>
    </row>
    <row r="641" spans="1:3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1"/>
    </row>
    <row r="642" spans="1:3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1"/>
    </row>
    <row r="643" spans="1:3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1"/>
    </row>
    <row r="644" spans="1:3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1"/>
    </row>
    <row r="645" spans="1:3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1"/>
    </row>
    <row r="646" spans="1:3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1"/>
    </row>
    <row r="647" spans="1:3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1"/>
    </row>
    <row r="648" spans="1:3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1"/>
    </row>
    <row r="649" spans="1:3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1"/>
    </row>
    <row r="650" spans="1:3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1"/>
    </row>
    <row r="651" spans="1:3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1"/>
    </row>
    <row r="652" spans="1:3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1"/>
    </row>
    <row r="653" spans="1:3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1"/>
    </row>
    <row r="654" spans="1:3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1"/>
    </row>
    <row r="655" spans="1:3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1"/>
    </row>
    <row r="656" spans="1:3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1"/>
    </row>
    <row r="657" spans="1:3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1"/>
    </row>
    <row r="658" spans="1:3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1"/>
    </row>
    <row r="659" spans="1:3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1"/>
    </row>
    <row r="660" spans="1:3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1"/>
    </row>
    <row r="661" spans="1:3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1"/>
    </row>
    <row r="662" spans="1:3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1"/>
    </row>
    <row r="663" spans="1:3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1"/>
    </row>
    <row r="664" spans="1:3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1"/>
    </row>
    <row r="665" spans="1:3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1"/>
    </row>
    <row r="666" spans="1:3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1"/>
    </row>
    <row r="667" spans="1:3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1"/>
    </row>
    <row r="668" spans="1:3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1"/>
    </row>
    <row r="669" spans="1:3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1"/>
    </row>
    <row r="670" spans="1:3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1"/>
    </row>
    <row r="671" spans="1:3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1"/>
    </row>
    <row r="672" spans="1:3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1"/>
    </row>
    <row r="673" spans="1:3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1"/>
    </row>
    <row r="674" spans="1:3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1"/>
    </row>
    <row r="675" spans="1:3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1"/>
    </row>
    <row r="676" spans="1:3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1"/>
    </row>
    <row r="677" spans="1:3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1"/>
    </row>
    <row r="678" spans="1:3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1"/>
    </row>
    <row r="679" spans="1:3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1"/>
    </row>
    <row r="680" spans="1:3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1"/>
    </row>
    <row r="681" spans="1:3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1"/>
    </row>
    <row r="682" spans="1:3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1"/>
    </row>
    <row r="683" spans="1:3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1"/>
    </row>
    <row r="684" spans="1:3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1"/>
    </row>
    <row r="685" spans="1:3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1"/>
    </row>
    <row r="686" spans="1:3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1"/>
    </row>
    <row r="687" spans="1:3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1"/>
    </row>
    <row r="688" spans="1:3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1"/>
    </row>
    <row r="689" spans="1:3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1"/>
    </row>
    <row r="690" spans="1:3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1"/>
    </row>
    <row r="691" spans="1:3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1"/>
    </row>
    <row r="692" spans="1:3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1"/>
    </row>
    <row r="693" spans="1:3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1"/>
    </row>
    <row r="694" spans="1:3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1"/>
    </row>
    <row r="695" spans="1:3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1"/>
    </row>
    <row r="696" spans="1:3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1"/>
    </row>
    <row r="697" spans="1:3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1"/>
    </row>
    <row r="698" spans="1:3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1"/>
    </row>
    <row r="699" spans="1:3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1"/>
    </row>
    <row r="700" spans="1:3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1"/>
    </row>
    <row r="701" spans="1:3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1"/>
    </row>
    <row r="702" spans="1:3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1"/>
    </row>
    <row r="703" spans="1:3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1"/>
    </row>
    <row r="704" spans="1:3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1"/>
    </row>
    <row r="705" spans="1:3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1"/>
    </row>
    <row r="706" spans="1:3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1"/>
    </row>
    <row r="707" spans="1:3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1"/>
    </row>
    <row r="708" spans="1:3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1"/>
    </row>
    <row r="709" spans="1:3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1"/>
    </row>
    <row r="710" spans="1:3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1"/>
    </row>
    <row r="711" spans="1:3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1"/>
    </row>
    <row r="712" spans="1:3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1"/>
    </row>
    <row r="713" spans="1:3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1"/>
    </row>
    <row r="714" spans="1:3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1"/>
    </row>
    <row r="715" spans="1:3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1"/>
    </row>
    <row r="716" spans="1:3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1"/>
    </row>
    <row r="717" spans="1:3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1"/>
    </row>
    <row r="718" spans="1:3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1"/>
    </row>
    <row r="719" spans="1:3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1"/>
    </row>
    <row r="720" spans="1:3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1"/>
    </row>
    <row r="721" spans="1:3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1"/>
    </row>
    <row r="722" spans="1:3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1"/>
    </row>
    <row r="723" spans="1:3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1"/>
    </row>
    <row r="724" spans="1:3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1"/>
    </row>
    <row r="725" spans="1:3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1"/>
    </row>
    <row r="726" spans="1:3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1"/>
    </row>
    <row r="727" spans="1:3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1"/>
    </row>
    <row r="728" spans="1:3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1"/>
    </row>
    <row r="729" spans="1:3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1"/>
    </row>
    <row r="730" spans="1:3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1"/>
    </row>
    <row r="731" spans="1:3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1"/>
    </row>
    <row r="732" spans="1:3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1"/>
    </row>
    <row r="733" spans="1:3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1"/>
    </row>
    <row r="734" spans="1:3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1"/>
    </row>
    <row r="735" spans="1:3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1"/>
    </row>
    <row r="736" spans="1:3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1"/>
    </row>
    <row r="737" spans="1:3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1"/>
    </row>
    <row r="738" spans="1:3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1"/>
    </row>
    <row r="739" spans="1:3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1"/>
    </row>
    <row r="740" spans="1:3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1"/>
    </row>
    <row r="741" spans="1:3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1"/>
    </row>
    <row r="742" spans="1:3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1"/>
    </row>
    <row r="743" spans="1:3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1"/>
    </row>
    <row r="744" spans="1:3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1"/>
    </row>
    <row r="745" spans="1:3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1"/>
    </row>
    <row r="746" spans="1:3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1"/>
    </row>
    <row r="747" spans="1:3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1"/>
    </row>
    <row r="748" spans="1:3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1"/>
    </row>
    <row r="749" spans="1:3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1"/>
    </row>
    <row r="750" spans="1:3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1"/>
    </row>
    <row r="751" spans="1:3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1"/>
    </row>
    <row r="752" spans="1:3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1"/>
    </row>
    <row r="753" spans="1:3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1"/>
    </row>
    <row r="754" spans="1:3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1"/>
    </row>
    <row r="755" spans="1:3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1"/>
    </row>
    <row r="756" spans="1:3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1"/>
    </row>
    <row r="757" spans="1:3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1"/>
    </row>
    <row r="758" spans="1:3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1"/>
    </row>
    <row r="759" spans="1:3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1"/>
    </row>
    <row r="760" spans="1:3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1"/>
    </row>
    <row r="761" spans="1:3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1"/>
    </row>
    <row r="762" spans="1:3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1"/>
    </row>
    <row r="763" spans="1:3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1"/>
    </row>
    <row r="764" spans="1:3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1"/>
    </row>
    <row r="765" spans="1:3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1"/>
    </row>
    <row r="766" spans="1:3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1"/>
    </row>
    <row r="767" spans="1:3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1"/>
    </row>
    <row r="768" spans="1:3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1"/>
    </row>
    <row r="769" spans="1:3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1"/>
    </row>
    <row r="770" spans="1:3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1"/>
    </row>
    <row r="771" spans="1:3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1"/>
    </row>
    <row r="772" spans="1:3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1"/>
    </row>
    <row r="773" spans="1:3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1"/>
    </row>
    <row r="774" spans="1:3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1"/>
    </row>
    <row r="775" spans="1:3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1"/>
    </row>
    <row r="776" spans="1:3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1"/>
    </row>
    <row r="777" spans="1:3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1"/>
    </row>
    <row r="778" spans="1:3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1"/>
    </row>
    <row r="779" spans="1:3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1"/>
    </row>
    <row r="780" spans="1:3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1"/>
    </row>
    <row r="781" spans="1:3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1"/>
    </row>
    <row r="782" spans="1:3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1"/>
    </row>
    <row r="783" spans="1:3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1"/>
    </row>
    <row r="784" spans="1:3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1"/>
    </row>
    <row r="785" spans="1:3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1"/>
    </row>
    <row r="786" spans="1:3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1"/>
    </row>
    <row r="787" spans="1:3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1"/>
    </row>
    <row r="788" spans="1:3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1"/>
    </row>
    <row r="789" spans="1:3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1"/>
    </row>
    <row r="790" spans="1:3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1"/>
    </row>
    <row r="791" spans="1:3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1"/>
    </row>
    <row r="792" spans="1:3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1"/>
    </row>
    <row r="793" spans="1:3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1"/>
    </row>
    <row r="794" spans="1:3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1"/>
    </row>
    <row r="795" spans="1:3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1"/>
    </row>
    <row r="796" spans="1:3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1"/>
    </row>
    <row r="797" spans="1:3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1"/>
    </row>
    <row r="798" spans="1:3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1"/>
    </row>
    <row r="799" spans="1:3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1"/>
    </row>
    <row r="800" spans="1:3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1"/>
    </row>
    <row r="801" spans="1:3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1"/>
    </row>
    <row r="802" spans="1:3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1"/>
    </row>
    <row r="803" spans="1:3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1"/>
    </row>
    <row r="804" spans="1:3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1"/>
    </row>
    <row r="805" spans="1:3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1"/>
    </row>
    <row r="806" spans="1:3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1"/>
    </row>
    <row r="807" spans="1:3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1"/>
    </row>
    <row r="808" spans="1:3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1"/>
    </row>
    <row r="809" spans="1:3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1"/>
    </row>
    <row r="810" spans="1:3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1"/>
    </row>
    <row r="811" spans="1:3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1"/>
    </row>
    <row r="812" spans="1:3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1"/>
    </row>
    <row r="813" spans="1:3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1"/>
    </row>
    <row r="814" spans="1:3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1"/>
    </row>
    <row r="815" spans="1:3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1"/>
    </row>
    <row r="816" spans="1:3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1"/>
    </row>
    <row r="817" spans="1:3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1"/>
    </row>
    <row r="818" spans="1:3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1"/>
    </row>
    <row r="819" spans="1:3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1"/>
    </row>
    <row r="820" spans="1:3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1"/>
    </row>
    <row r="821" spans="1:3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1"/>
    </row>
    <row r="822" spans="1:3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1"/>
    </row>
    <row r="823" spans="1:3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1"/>
    </row>
    <row r="824" spans="1:3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1"/>
    </row>
    <row r="825" spans="1:3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1"/>
    </row>
    <row r="826" spans="1:3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1"/>
    </row>
    <row r="827" spans="1:3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1"/>
    </row>
    <row r="828" spans="1:3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1"/>
    </row>
    <row r="829" spans="1:3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1"/>
    </row>
    <row r="830" spans="1:3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1"/>
    </row>
    <row r="831" spans="1:3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1"/>
    </row>
    <row r="832" spans="1:3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1"/>
    </row>
    <row r="833" spans="1:3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1"/>
    </row>
    <row r="834" spans="1:3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1"/>
    </row>
    <row r="835" spans="1:3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1"/>
    </row>
    <row r="836" spans="1:3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1"/>
    </row>
    <row r="837" spans="1:3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1"/>
    </row>
    <row r="838" spans="1:3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1"/>
    </row>
    <row r="839" spans="1:3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1"/>
    </row>
    <row r="840" spans="1:3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1"/>
    </row>
    <row r="841" spans="1:3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1"/>
    </row>
    <row r="842" spans="1:3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1"/>
    </row>
    <row r="843" spans="1:3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1"/>
    </row>
    <row r="844" spans="1:3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1"/>
    </row>
    <row r="845" spans="1:3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1"/>
    </row>
    <row r="846" spans="1:3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1"/>
    </row>
    <row r="847" spans="1:3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1"/>
    </row>
    <row r="848" spans="1:3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1"/>
    </row>
    <row r="849" spans="1:3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1"/>
    </row>
    <row r="850" spans="1:3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1"/>
    </row>
    <row r="851" spans="1:3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1"/>
    </row>
    <row r="852" spans="1:3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1"/>
    </row>
    <row r="853" spans="1:3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1"/>
    </row>
    <row r="854" spans="1:3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1"/>
    </row>
    <row r="855" spans="1:3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1"/>
    </row>
    <row r="856" spans="1:3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1"/>
    </row>
    <row r="857" spans="1:3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1"/>
    </row>
    <row r="858" spans="1:3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1"/>
    </row>
    <row r="859" spans="1:3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1"/>
    </row>
    <row r="860" spans="1:3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1"/>
    </row>
    <row r="861" spans="1:3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1"/>
    </row>
    <row r="862" spans="1:3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1"/>
    </row>
    <row r="863" spans="1:3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1"/>
    </row>
    <row r="864" spans="1:3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1"/>
    </row>
    <row r="865" spans="1:3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1"/>
    </row>
    <row r="866" spans="1:3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1"/>
    </row>
    <row r="867" spans="1:3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1"/>
    </row>
    <row r="868" spans="1:3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1"/>
    </row>
    <row r="869" spans="1:3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1"/>
    </row>
    <row r="870" spans="1:3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1"/>
    </row>
    <row r="871" spans="1:3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1"/>
    </row>
    <row r="872" spans="1:3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1"/>
    </row>
    <row r="873" spans="1:3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1"/>
    </row>
    <row r="874" spans="1:3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1"/>
    </row>
    <row r="875" spans="1:3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1"/>
    </row>
    <row r="876" spans="1:3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1"/>
    </row>
    <row r="877" spans="1:3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1"/>
    </row>
    <row r="878" spans="1:3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1"/>
    </row>
    <row r="879" spans="1:3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1"/>
    </row>
    <row r="880" spans="1:3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1"/>
    </row>
    <row r="881" spans="1:3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1"/>
    </row>
    <row r="882" spans="1:3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1"/>
    </row>
    <row r="883" spans="1:3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1"/>
    </row>
    <row r="884" spans="1:3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1"/>
    </row>
    <row r="885" spans="1:3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1"/>
    </row>
    <row r="886" spans="1:3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1"/>
    </row>
    <row r="887" spans="1:3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1"/>
    </row>
    <row r="888" spans="1:3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1"/>
    </row>
    <row r="889" spans="1:3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1"/>
    </row>
    <row r="890" spans="1:3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1"/>
    </row>
    <row r="891" spans="1:3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1"/>
    </row>
    <row r="892" spans="1:3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1"/>
    </row>
    <row r="893" spans="1:3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1"/>
    </row>
    <row r="894" spans="1:3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1"/>
    </row>
    <row r="895" spans="1:3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1"/>
    </row>
    <row r="896" spans="1:3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1"/>
    </row>
    <row r="897" spans="1:3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1"/>
    </row>
    <row r="898" spans="1:3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1"/>
    </row>
    <row r="899" spans="1:3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1"/>
    </row>
    <row r="900" spans="1:3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1"/>
    </row>
    <row r="901" spans="1:3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1"/>
    </row>
    <row r="902" spans="1:3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1"/>
    </row>
    <row r="903" spans="1:3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1"/>
    </row>
    <row r="904" spans="1:3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1"/>
    </row>
    <row r="905" spans="1:3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1"/>
    </row>
    <row r="906" spans="1:3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1"/>
    </row>
    <row r="907" spans="1:3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1"/>
    </row>
    <row r="908" spans="1:3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1"/>
    </row>
    <row r="909" spans="1:3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1"/>
    </row>
    <row r="910" spans="1:3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1"/>
    </row>
    <row r="911" spans="1:3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1"/>
    </row>
    <row r="912" spans="1:3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1"/>
    </row>
    <row r="913" spans="1:3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1"/>
    </row>
    <row r="914" spans="1:3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1"/>
    </row>
    <row r="915" spans="1:3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1"/>
    </row>
    <row r="916" spans="1:3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1"/>
    </row>
    <row r="917" spans="1:3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1"/>
    </row>
    <row r="918" spans="1:3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1"/>
    </row>
    <row r="919" spans="1:3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1"/>
    </row>
    <row r="920" spans="1:3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1"/>
    </row>
    <row r="921" spans="1:3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1"/>
    </row>
    <row r="922" spans="1:3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1"/>
    </row>
    <row r="923" spans="1:3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1"/>
    </row>
    <row r="924" spans="1:3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1"/>
    </row>
    <row r="925" spans="1:3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1"/>
    </row>
    <row r="926" spans="1:3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1"/>
    </row>
    <row r="927" spans="1:3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1"/>
    </row>
    <row r="928" spans="1:3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1"/>
    </row>
    <row r="929" spans="1:3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1"/>
    </row>
    <row r="930" spans="1:3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1"/>
    </row>
    <row r="931" spans="1:3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1"/>
    </row>
    <row r="932" spans="1:3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1"/>
    </row>
    <row r="933" spans="1:3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1"/>
    </row>
    <row r="934" spans="1:3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1"/>
    </row>
    <row r="935" spans="1:3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1"/>
    </row>
    <row r="936" spans="1:3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1"/>
    </row>
    <row r="937" spans="1:3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1"/>
    </row>
    <row r="938" spans="1:3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1"/>
    </row>
    <row r="939" spans="1:3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1"/>
    </row>
    <row r="940" spans="1:3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1"/>
    </row>
    <row r="941" spans="1:3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1"/>
    </row>
    <row r="942" spans="1:3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1"/>
    </row>
    <row r="943" spans="1:3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1"/>
    </row>
    <row r="944" spans="1:3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1"/>
    </row>
    <row r="945" spans="1:3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1"/>
    </row>
    <row r="946" spans="1:3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1"/>
    </row>
    <row r="947" spans="1:3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1"/>
    </row>
    <row r="948" spans="1:3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1"/>
    </row>
    <row r="949" spans="1:3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1"/>
    </row>
    <row r="950" spans="1:3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1"/>
    </row>
    <row r="951" spans="1:3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1"/>
    </row>
    <row r="952" spans="1:3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1"/>
    </row>
    <row r="953" spans="1:3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1"/>
    </row>
    <row r="954" spans="1:3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1"/>
    </row>
    <row r="955" spans="1:3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1"/>
    </row>
    <row r="956" spans="1:3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1"/>
    </row>
    <row r="957" spans="1:3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1"/>
    </row>
    <row r="958" spans="1:3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1"/>
    </row>
    <row r="959" spans="1:3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1"/>
    </row>
    <row r="960" spans="1:3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1"/>
    </row>
    <row r="961" spans="1:3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1"/>
    </row>
    <row r="962" spans="1:3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1"/>
    </row>
    <row r="963" spans="1:3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1"/>
    </row>
    <row r="964" spans="1:3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1"/>
    </row>
    <row r="965" spans="1:3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1"/>
    </row>
    <row r="966" spans="1:3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1"/>
    </row>
    <row r="967" spans="1:3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1"/>
    </row>
    <row r="968" spans="1:3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1"/>
    </row>
    <row r="969" spans="1:3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1"/>
    </row>
    <row r="970" spans="1:3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1"/>
    </row>
    <row r="971" spans="1:3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1"/>
    </row>
    <row r="972" spans="1:3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1"/>
    </row>
    <row r="973" spans="1:3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1"/>
    </row>
    <row r="974" spans="1:3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1"/>
    </row>
    <row r="975" spans="1:3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1"/>
    </row>
    <row r="976" spans="1:3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1"/>
    </row>
    <row r="977" spans="1:3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1"/>
    </row>
    <row r="978" spans="1:3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1"/>
    </row>
    <row r="979" spans="1:3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1"/>
    </row>
    <row r="980" spans="1:3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1"/>
    </row>
    <row r="981" spans="1:3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1"/>
    </row>
    <row r="982" spans="1:3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1"/>
    </row>
    <row r="983" spans="1:3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1"/>
    </row>
    <row r="984" spans="1:3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1"/>
    </row>
    <row r="985" spans="1:3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1"/>
    </row>
    <row r="986" spans="1:3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1"/>
    </row>
    <row r="987" spans="1:3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1"/>
    </row>
    <row r="988" spans="1:3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1"/>
    </row>
    <row r="989" spans="1:3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1"/>
    </row>
    <row r="990" spans="1:3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1"/>
    </row>
    <row r="991" spans="1:3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1"/>
    </row>
    <row r="992" spans="1:3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1"/>
    </row>
    <row r="993" spans="1:3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1"/>
    </row>
    <row r="994" spans="1:3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1"/>
    </row>
    <row r="995" spans="1:3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1"/>
    </row>
    <row r="996" spans="1:3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1"/>
    </row>
    <row r="997" spans="1:3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1"/>
    </row>
    <row r="998" spans="1:3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1"/>
    </row>
    <row r="999" spans="1:3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1"/>
    </row>
    <row r="1000" spans="1:3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1"/>
    </row>
    <row r="1001" spans="1:31" x14ac:dyDescent="0.3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1"/>
    </row>
    <row r="1002" spans="1:31" x14ac:dyDescent="0.3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1"/>
    </row>
    <row r="1003" spans="1:31" x14ac:dyDescent="0.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1"/>
    </row>
    <row r="1004" spans="1:31" x14ac:dyDescent="0.3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1"/>
    </row>
    <row r="1005" spans="1:31" x14ac:dyDescent="0.3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1"/>
    </row>
    <row r="1006" spans="1:31" x14ac:dyDescent="0.3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1"/>
    </row>
    <row r="1007" spans="1:31" x14ac:dyDescent="0.3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1"/>
    </row>
    <row r="1008" spans="1:31" x14ac:dyDescent="0.3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1"/>
    </row>
    <row r="1009" spans="1:31" x14ac:dyDescent="0.3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1"/>
    </row>
    <row r="1010" spans="1:31" x14ac:dyDescent="0.3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1"/>
    </row>
    <row r="1011" spans="1:31" x14ac:dyDescent="0.3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1"/>
    </row>
    <row r="1012" spans="1:31" x14ac:dyDescent="0.3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1"/>
    </row>
    <row r="1013" spans="1:31" x14ac:dyDescent="0.3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1"/>
    </row>
    <row r="1014" spans="1:31" x14ac:dyDescent="0.3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1"/>
    </row>
    <row r="1015" spans="1:31" x14ac:dyDescent="0.3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1"/>
    </row>
    <row r="1016" spans="1:31" x14ac:dyDescent="0.3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1"/>
    </row>
    <row r="1017" spans="1:31" x14ac:dyDescent="0.3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1"/>
    </row>
    <row r="1018" spans="1:31" x14ac:dyDescent="0.3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1"/>
    </row>
    <row r="1019" spans="1:31" x14ac:dyDescent="0.3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1"/>
    </row>
    <row r="1020" spans="1:31" x14ac:dyDescent="0.3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</row>
  </sheetData>
  <mergeCells count="4">
    <mergeCell ref="A46:E46"/>
    <mergeCell ref="A49:B49"/>
    <mergeCell ref="C49:O49"/>
    <mergeCell ref="A76:E76"/>
  </mergeCells>
  <hyperlinks>
    <hyperlink ref="A1" r:id="rId1" display="http://s.no/" xr:uid="{F6560EF2-F5EA-45FD-B997-C6627B734F9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8E2C-6AA6-472C-A05E-48A6BA34B135}">
  <sheetPr>
    <tabColor rgb="FFFF0000"/>
  </sheetPr>
  <dimension ref="A1:AB1010"/>
  <sheetViews>
    <sheetView topLeftCell="E1" zoomScale="127" workbookViewId="0">
      <selection activeCell="E14" sqref="E14"/>
    </sheetView>
  </sheetViews>
  <sheetFormatPr defaultColWidth="9.109375" defaultRowHeight="14.4" x14ac:dyDescent="0.3"/>
  <cols>
    <col min="1" max="1" width="5.5546875" style="116" bestFit="1" customWidth="1"/>
    <col min="2" max="2" width="10.6640625" style="116" bestFit="1" customWidth="1"/>
    <col min="3" max="3" width="9.109375" style="116"/>
    <col min="4" max="4" width="35.33203125" style="116" bestFit="1" customWidth="1"/>
    <col min="5" max="5" width="18.44140625" style="116" bestFit="1" customWidth="1"/>
    <col min="6" max="6" width="10.6640625" style="116" bestFit="1" customWidth="1"/>
    <col min="7" max="7" width="6" style="116" bestFit="1" customWidth="1"/>
    <col min="8" max="8" width="10.6640625" style="116" bestFit="1" customWidth="1"/>
    <col min="9" max="9" width="4.6640625" style="116" bestFit="1" customWidth="1"/>
    <col min="10" max="10" width="11.88671875" style="116" bestFit="1" customWidth="1"/>
    <col min="11" max="12" width="10.88671875" style="116" bestFit="1" customWidth="1"/>
    <col min="13" max="13" width="9.88671875" style="116" bestFit="1" customWidth="1"/>
    <col min="14" max="14" width="14" style="116" bestFit="1" customWidth="1"/>
    <col min="15" max="15" width="12.88671875" style="116" bestFit="1" customWidth="1"/>
    <col min="16" max="16" width="9.109375" style="116"/>
    <col min="17" max="17" width="8.6640625" style="116" bestFit="1" customWidth="1"/>
    <col min="18" max="18" width="10.88671875" style="116" bestFit="1" customWidth="1"/>
    <col min="19" max="16384" width="9.109375" style="116"/>
  </cols>
  <sheetData>
    <row r="1" spans="1:28" x14ac:dyDescent="0.3">
      <c r="A1" s="105" t="s">
        <v>522</v>
      </c>
      <c r="B1" s="29" t="s">
        <v>26</v>
      </c>
      <c r="C1" s="29" t="s">
        <v>27</v>
      </c>
      <c r="D1" s="29" t="s">
        <v>28</v>
      </c>
      <c r="E1" s="29" t="s">
        <v>29</v>
      </c>
      <c r="F1" s="29" t="s">
        <v>110</v>
      </c>
      <c r="G1" s="29" t="s">
        <v>34</v>
      </c>
      <c r="H1" s="29" t="s">
        <v>127</v>
      </c>
      <c r="I1" s="29" t="s">
        <v>34</v>
      </c>
      <c r="J1" s="29" t="s">
        <v>128</v>
      </c>
      <c r="K1" s="29" t="s">
        <v>36</v>
      </c>
      <c r="L1" s="29" t="s">
        <v>37</v>
      </c>
      <c r="M1" s="29" t="s">
        <v>38</v>
      </c>
      <c r="N1" s="29" t="s">
        <v>129</v>
      </c>
      <c r="O1" s="29" t="s">
        <v>130</v>
      </c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</row>
    <row r="2" spans="1:28" x14ac:dyDescent="0.3">
      <c r="A2" s="32">
        <v>1</v>
      </c>
      <c r="B2" s="33" t="s">
        <v>523</v>
      </c>
      <c r="C2" s="34">
        <v>45748</v>
      </c>
      <c r="D2" s="33" t="s">
        <v>524</v>
      </c>
      <c r="E2" s="33" t="s">
        <v>46</v>
      </c>
      <c r="F2" s="33">
        <v>4820</v>
      </c>
      <c r="G2" s="33">
        <v>5</v>
      </c>
      <c r="H2" s="33"/>
      <c r="I2" s="33"/>
      <c r="J2" s="33">
        <v>1000</v>
      </c>
      <c r="K2" s="33">
        <v>90</v>
      </c>
      <c r="L2" s="33">
        <v>90</v>
      </c>
      <c r="M2" s="33">
        <v>0</v>
      </c>
      <c r="N2" s="33">
        <v>0</v>
      </c>
      <c r="O2" s="38">
        <v>1180</v>
      </c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 spans="1:28" x14ac:dyDescent="0.3">
      <c r="A3" s="32">
        <v>2</v>
      </c>
      <c r="B3" s="33" t="s">
        <v>525</v>
      </c>
      <c r="C3" s="34">
        <v>45751</v>
      </c>
      <c r="D3" s="33" t="s">
        <v>526</v>
      </c>
      <c r="E3" s="33" t="s">
        <v>49</v>
      </c>
      <c r="F3" s="33">
        <v>49110000</v>
      </c>
      <c r="G3" s="33">
        <v>2828</v>
      </c>
      <c r="H3" s="33"/>
      <c r="I3" s="33"/>
      <c r="J3" s="33">
        <v>10689.84</v>
      </c>
      <c r="K3" s="33">
        <v>0</v>
      </c>
      <c r="L3" s="33">
        <v>0</v>
      </c>
      <c r="M3" s="33">
        <v>1924.1712</v>
      </c>
      <c r="N3" s="33">
        <v>0</v>
      </c>
      <c r="O3" s="38">
        <v>12614.01</v>
      </c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 spans="1:28" x14ac:dyDescent="0.3">
      <c r="A4" s="32">
        <v>3</v>
      </c>
      <c r="B4" s="33" t="s">
        <v>527</v>
      </c>
      <c r="C4" s="34">
        <v>45756</v>
      </c>
      <c r="D4" s="33" t="s">
        <v>528</v>
      </c>
      <c r="E4" s="33" t="s">
        <v>330</v>
      </c>
      <c r="F4" s="36">
        <v>8415</v>
      </c>
      <c r="G4" s="36">
        <v>1360</v>
      </c>
      <c r="H4" s="36"/>
      <c r="I4" s="36"/>
      <c r="J4" s="36">
        <v>13273.6</v>
      </c>
      <c r="K4" s="33">
        <v>1194.624</v>
      </c>
      <c r="L4" s="33">
        <v>1194.624</v>
      </c>
      <c r="M4" s="33">
        <v>0</v>
      </c>
      <c r="N4" s="33">
        <v>0</v>
      </c>
      <c r="O4" s="38">
        <v>15662.85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 spans="1:28" x14ac:dyDescent="0.3">
      <c r="A5" s="32">
        <v>4</v>
      </c>
      <c r="B5" s="33" t="s">
        <v>529</v>
      </c>
      <c r="C5" s="34">
        <v>45756</v>
      </c>
      <c r="D5" s="33" t="s">
        <v>530</v>
      </c>
      <c r="E5" s="33" t="s">
        <v>330</v>
      </c>
      <c r="F5" s="33">
        <v>8415</v>
      </c>
      <c r="G5" s="33">
        <v>1360</v>
      </c>
      <c r="H5" s="33"/>
      <c r="I5" s="33"/>
      <c r="J5" s="33">
        <v>13273.6</v>
      </c>
      <c r="K5" s="33">
        <v>1194.624</v>
      </c>
      <c r="L5" s="33">
        <v>1194.624</v>
      </c>
      <c r="M5" s="33">
        <v>0</v>
      </c>
      <c r="N5" s="33">
        <v>0</v>
      </c>
      <c r="O5" s="38">
        <v>15662.85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</row>
    <row r="6" spans="1:28" x14ac:dyDescent="0.3">
      <c r="A6" s="32">
        <v>5</v>
      </c>
      <c r="B6" s="33" t="s">
        <v>531</v>
      </c>
      <c r="C6" s="34">
        <v>45756</v>
      </c>
      <c r="D6" s="33" t="s">
        <v>434</v>
      </c>
      <c r="E6" s="33" t="s">
        <v>330</v>
      </c>
      <c r="F6" s="33">
        <v>8415</v>
      </c>
      <c r="G6" s="33">
        <v>2595</v>
      </c>
      <c r="H6" s="33"/>
      <c r="I6" s="33"/>
      <c r="J6" s="33">
        <v>25327.200000000001</v>
      </c>
      <c r="K6" s="33">
        <v>2279.4479999999999</v>
      </c>
      <c r="L6" s="33">
        <v>2279.4479999999999</v>
      </c>
      <c r="M6" s="33">
        <v>0</v>
      </c>
      <c r="N6" s="33">
        <v>0</v>
      </c>
      <c r="O6" s="38">
        <v>29886.1</v>
      </c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</row>
    <row r="7" spans="1:28" x14ac:dyDescent="0.3">
      <c r="A7" s="32">
        <v>6</v>
      </c>
      <c r="B7" s="33" t="s">
        <v>532</v>
      </c>
      <c r="C7" s="34">
        <v>45756</v>
      </c>
      <c r="D7" s="33" t="s">
        <v>533</v>
      </c>
      <c r="E7" s="33" t="s">
        <v>330</v>
      </c>
      <c r="F7" s="33">
        <v>8415</v>
      </c>
      <c r="G7" s="33">
        <v>2356</v>
      </c>
      <c r="H7" s="33"/>
      <c r="I7" s="33"/>
      <c r="J7" s="33">
        <v>22994.560000000001</v>
      </c>
      <c r="K7" s="33">
        <v>2069.5104000000001</v>
      </c>
      <c r="L7" s="33">
        <v>2069.5104000000001</v>
      </c>
      <c r="M7" s="33">
        <v>0</v>
      </c>
      <c r="N7" s="33">
        <v>0</v>
      </c>
      <c r="O7" s="38">
        <v>27133.58</v>
      </c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</row>
    <row r="8" spans="1:28" x14ac:dyDescent="0.3">
      <c r="A8" s="32">
        <v>7</v>
      </c>
      <c r="B8" s="33" t="s">
        <v>534</v>
      </c>
      <c r="C8" s="34">
        <v>45756</v>
      </c>
      <c r="D8" s="33" t="s">
        <v>434</v>
      </c>
      <c r="E8" s="33" t="s">
        <v>330</v>
      </c>
      <c r="F8" s="36">
        <v>8415</v>
      </c>
      <c r="G8" s="36">
        <v>2595</v>
      </c>
      <c r="H8" s="36"/>
      <c r="I8" s="36"/>
      <c r="J8" s="36">
        <v>25327.200000000001</v>
      </c>
      <c r="K8" s="33">
        <v>2279.4479999999999</v>
      </c>
      <c r="L8" s="33">
        <v>2279.4479999999999</v>
      </c>
      <c r="M8" s="33">
        <v>0</v>
      </c>
      <c r="N8" s="33">
        <v>0</v>
      </c>
      <c r="O8" s="38">
        <v>29886.1</v>
      </c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</row>
    <row r="9" spans="1:28" x14ac:dyDescent="0.3">
      <c r="A9" s="32">
        <v>8</v>
      </c>
      <c r="B9" s="33" t="s">
        <v>535</v>
      </c>
      <c r="C9" s="34">
        <v>45757</v>
      </c>
      <c r="D9" s="33" t="s">
        <v>75</v>
      </c>
      <c r="E9" s="33" t="s">
        <v>536</v>
      </c>
      <c r="F9" s="36">
        <v>3919</v>
      </c>
      <c r="G9" s="36">
        <v>3955</v>
      </c>
      <c r="H9" s="36"/>
      <c r="I9" s="36"/>
      <c r="J9" s="36">
        <v>43505</v>
      </c>
      <c r="K9" s="33">
        <v>0</v>
      </c>
      <c r="L9" s="33">
        <v>0</v>
      </c>
      <c r="M9" s="33">
        <v>7830.9</v>
      </c>
      <c r="N9" s="33">
        <v>0</v>
      </c>
      <c r="O9" s="38">
        <v>51335.9</v>
      </c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  <row r="10" spans="1:28" x14ac:dyDescent="0.3">
      <c r="A10" s="32">
        <v>9</v>
      </c>
      <c r="B10" s="33" t="s">
        <v>537</v>
      </c>
      <c r="C10" s="34">
        <v>45757</v>
      </c>
      <c r="D10" s="33" t="s">
        <v>526</v>
      </c>
      <c r="E10" s="33" t="s">
        <v>49</v>
      </c>
      <c r="F10" s="33">
        <v>49110000</v>
      </c>
      <c r="G10" s="33">
        <v>1530</v>
      </c>
      <c r="H10" s="33"/>
      <c r="I10" s="33"/>
      <c r="J10" s="33">
        <v>5783.4</v>
      </c>
      <c r="K10" s="33">
        <v>0</v>
      </c>
      <c r="L10" s="33">
        <v>0</v>
      </c>
      <c r="M10" s="33">
        <v>1041.0119999999999</v>
      </c>
      <c r="N10" s="33">
        <v>0</v>
      </c>
      <c r="O10" s="38">
        <v>6824.41</v>
      </c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</row>
    <row r="11" spans="1:28" x14ac:dyDescent="0.3">
      <c r="A11" s="32">
        <v>10</v>
      </c>
      <c r="B11" s="33" t="s">
        <v>538</v>
      </c>
      <c r="C11" s="34">
        <v>45759</v>
      </c>
      <c r="D11" s="33" t="s">
        <v>539</v>
      </c>
      <c r="E11" s="33" t="s">
        <v>94</v>
      </c>
      <c r="F11" s="36">
        <v>4820</v>
      </c>
      <c r="G11" s="36">
        <v>16</v>
      </c>
      <c r="H11" s="36"/>
      <c r="I11" s="36"/>
      <c r="J11" s="36">
        <v>1522</v>
      </c>
      <c r="K11" s="33">
        <v>136.97999999999999</v>
      </c>
      <c r="L11" s="33">
        <v>136.97999999999999</v>
      </c>
      <c r="M11" s="33">
        <v>0</v>
      </c>
      <c r="N11" s="33">
        <v>0</v>
      </c>
      <c r="O11" s="38">
        <v>1795.96</v>
      </c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</row>
    <row r="12" spans="1:28" x14ac:dyDescent="0.3">
      <c r="A12" s="32">
        <v>11</v>
      </c>
      <c r="B12" s="33" t="s">
        <v>540</v>
      </c>
      <c r="C12" s="34">
        <v>45763</v>
      </c>
      <c r="D12" s="33" t="s">
        <v>541</v>
      </c>
      <c r="E12" s="33" t="s">
        <v>46</v>
      </c>
      <c r="F12" s="36">
        <v>4820</v>
      </c>
      <c r="G12" s="36">
        <v>500</v>
      </c>
      <c r="H12" s="36"/>
      <c r="I12" s="36"/>
      <c r="J12" s="36">
        <v>2000</v>
      </c>
      <c r="K12" s="33">
        <v>180</v>
      </c>
      <c r="L12" s="33">
        <v>180</v>
      </c>
      <c r="M12" s="33">
        <v>0</v>
      </c>
      <c r="N12" s="33">
        <v>0</v>
      </c>
      <c r="O12" s="38">
        <v>2360</v>
      </c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</row>
    <row r="13" spans="1:28" x14ac:dyDescent="0.3">
      <c r="A13" s="32">
        <v>12</v>
      </c>
      <c r="B13" s="33" t="s">
        <v>542</v>
      </c>
      <c r="C13" s="34">
        <v>45764</v>
      </c>
      <c r="D13" s="33" t="s">
        <v>543</v>
      </c>
      <c r="E13" s="33" t="s">
        <v>55</v>
      </c>
      <c r="F13" s="36">
        <v>4911</v>
      </c>
      <c r="G13" s="36">
        <v>81</v>
      </c>
      <c r="H13" s="36"/>
      <c r="I13" s="36"/>
      <c r="J13" s="36">
        <v>8100</v>
      </c>
      <c r="K13" s="33">
        <v>729</v>
      </c>
      <c r="L13" s="33">
        <v>729</v>
      </c>
      <c r="M13" s="33">
        <v>0</v>
      </c>
      <c r="N13" s="33">
        <v>0</v>
      </c>
      <c r="O13" s="38">
        <v>9558</v>
      </c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</row>
    <row r="14" spans="1:28" x14ac:dyDescent="0.3">
      <c r="A14" s="32">
        <v>13</v>
      </c>
      <c r="B14" s="33" t="s">
        <v>544</v>
      </c>
      <c r="C14" s="34">
        <v>45765</v>
      </c>
      <c r="D14" s="33" t="s">
        <v>526</v>
      </c>
      <c r="E14" s="33" t="s">
        <v>49</v>
      </c>
      <c r="F14" s="33">
        <v>49110000</v>
      </c>
      <c r="G14" s="33">
        <v>13635</v>
      </c>
      <c r="H14" s="33"/>
      <c r="I14" s="33"/>
      <c r="J14" s="33">
        <v>51540.3</v>
      </c>
      <c r="K14" s="33">
        <v>0</v>
      </c>
      <c r="L14" s="33">
        <v>0</v>
      </c>
      <c r="M14" s="33">
        <v>9277.2540000000008</v>
      </c>
      <c r="N14" s="33">
        <v>0</v>
      </c>
      <c r="O14" s="38">
        <v>60817.55</v>
      </c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</row>
    <row r="15" spans="1:28" x14ac:dyDescent="0.3">
      <c r="A15" s="32">
        <v>14</v>
      </c>
      <c r="B15" s="71" t="s">
        <v>545</v>
      </c>
      <c r="C15" s="34">
        <v>45770</v>
      </c>
      <c r="D15" s="33" t="s">
        <v>546</v>
      </c>
      <c r="E15" s="33" t="s">
        <v>85</v>
      </c>
      <c r="F15" s="33">
        <v>4820</v>
      </c>
      <c r="G15" s="33">
        <v>10</v>
      </c>
      <c r="H15" s="33"/>
      <c r="I15" s="33"/>
      <c r="J15" s="33">
        <v>4000</v>
      </c>
      <c r="K15" s="33">
        <v>0</v>
      </c>
      <c r="L15" s="33">
        <v>0</v>
      </c>
      <c r="M15" s="33">
        <v>720</v>
      </c>
      <c r="N15" s="33">
        <v>0</v>
      </c>
      <c r="O15" s="38">
        <v>4720</v>
      </c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</row>
    <row r="16" spans="1:28" x14ac:dyDescent="0.3">
      <c r="A16" s="32">
        <v>15</v>
      </c>
      <c r="B16" s="71" t="s">
        <v>547</v>
      </c>
      <c r="C16" s="34">
        <v>45771</v>
      </c>
      <c r="D16" s="33" t="s">
        <v>548</v>
      </c>
      <c r="E16" s="33" t="s">
        <v>171</v>
      </c>
      <c r="F16" s="36">
        <v>48203000</v>
      </c>
      <c r="G16" s="36">
        <v>7400</v>
      </c>
      <c r="H16" s="36"/>
      <c r="I16" s="36"/>
      <c r="J16" s="36">
        <v>22840</v>
      </c>
      <c r="K16" s="33">
        <v>2055.6</v>
      </c>
      <c r="L16" s="33">
        <v>2055.6</v>
      </c>
      <c r="M16" s="33">
        <v>0</v>
      </c>
      <c r="N16" s="33">
        <v>0</v>
      </c>
      <c r="O16" s="38">
        <v>26951.200000000001</v>
      </c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</row>
    <row r="17" spans="1:28" x14ac:dyDescent="0.3">
      <c r="A17" s="32">
        <v>16</v>
      </c>
      <c r="B17" s="33" t="s">
        <v>549</v>
      </c>
      <c r="C17" s="34">
        <v>45771</v>
      </c>
      <c r="D17" s="33" t="s">
        <v>528</v>
      </c>
      <c r="E17" s="33" t="s">
        <v>330</v>
      </c>
      <c r="F17" s="36">
        <v>3923</v>
      </c>
      <c r="G17" s="36">
        <v>3456</v>
      </c>
      <c r="H17" s="36"/>
      <c r="I17" s="36"/>
      <c r="J17" s="36">
        <v>1900.8</v>
      </c>
      <c r="K17" s="33">
        <v>171.072</v>
      </c>
      <c r="L17" s="33">
        <v>171.072</v>
      </c>
      <c r="M17" s="33">
        <v>0</v>
      </c>
      <c r="N17" s="33">
        <v>0</v>
      </c>
      <c r="O17" s="38">
        <v>2242.94</v>
      </c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</row>
    <row r="18" spans="1:28" x14ac:dyDescent="0.3">
      <c r="A18" s="32">
        <v>17</v>
      </c>
      <c r="B18" s="33" t="s">
        <v>550</v>
      </c>
      <c r="C18" s="34">
        <v>45771</v>
      </c>
      <c r="D18" s="33" t="s">
        <v>434</v>
      </c>
      <c r="E18" s="33" t="s">
        <v>330</v>
      </c>
      <c r="F18" s="36">
        <v>3923</v>
      </c>
      <c r="G18" s="36">
        <v>5184</v>
      </c>
      <c r="H18" s="36"/>
      <c r="I18" s="36"/>
      <c r="J18" s="36">
        <v>2851.2</v>
      </c>
      <c r="K18" s="33">
        <v>256.608</v>
      </c>
      <c r="L18" s="33">
        <v>256.608</v>
      </c>
      <c r="M18" s="33">
        <v>0</v>
      </c>
      <c r="N18" s="33">
        <v>0</v>
      </c>
      <c r="O18" s="38">
        <v>3364.42</v>
      </c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</row>
    <row r="19" spans="1:28" x14ac:dyDescent="0.3">
      <c r="A19" s="32">
        <v>18</v>
      </c>
      <c r="B19" s="33" t="s">
        <v>551</v>
      </c>
      <c r="C19" s="34">
        <v>45771</v>
      </c>
      <c r="D19" s="33" t="s">
        <v>434</v>
      </c>
      <c r="E19" s="33" t="s">
        <v>330</v>
      </c>
      <c r="F19" s="36">
        <v>3923</v>
      </c>
      <c r="G19" s="36">
        <v>864</v>
      </c>
      <c r="H19" s="36"/>
      <c r="I19" s="36"/>
      <c r="J19" s="36">
        <v>625.20000000000005</v>
      </c>
      <c r="K19" s="33">
        <v>56.268000000000001</v>
      </c>
      <c r="L19" s="33">
        <v>56.268000000000001</v>
      </c>
      <c r="M19" s="33">
        <v>0</v>
      </c>
      <c r="N19" s="33">
        <v>0</v>
      </c>
      <c r="O19" s="36">
        <v>737.74</v>
      </c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</row>
    <row r="20" spans="1:28" x14ac:dyDescent="0.3">
      <c r="A20" s="32">
        <v>19</v>
      </c>
      <c r="B20" s="33" t="s">
        <v>552</v>
      </c>
      <c r="C20" s="34">
        <v>45771</v>
      </c>
      <c r="D20" s="33" t="s">
        <v>434</v>
      </c>
      <c r="E20" s="33" t="s">
        <v>330</v>
      </c>
      <c r="F20" s="33">
        <v>3923</v>
      </c>
      <c r="G20" s="33">
        <v>272</v>
      </c>
      <c r="H20" s="33"/>
      <c r="I20" s="33"/>
      <c r="J20" s="33">
        <v>149.6</v>
      </c>
      <c r="K20" s="33">
        <v>13.464</v>
      </c>
      <c r="L20" s="33">
        <v>13.464</v>
      </c>
      <c r="M20" s="33">
        <v>0</v>
      </c>
      <c r="N20" s="33">
        <v>0</v>
      </c>
      <c r="O20" s="36">
        <v>176.53</v>
      </c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</row>
    <row r="21" spans="1:28" x14ac:dyDescent="0.3">
      <c r="A21" s="32">
        <v>20</v>
      </c>
      <c r="B21" s="33" t="s">
        <v>553</v>
      </c>
      <c r="C21" s="34">
        <v>45771</v>
      </c>
      <c r="D21" s="33" t="s">
        <v>533</v>
      </c>
      <c r="E21" s="33" t="s">
        <v>330</v>
      </c>
      <c r="F21" s="36">
        <v>3923</v>
      </c>
      <c r="G21" s="36">
        <v>1728</v>
      </c>
      <c r="H21" s="36"/>
      <c r="I21" s="36"/>
      <c r="J21" s="36">
        <v>950.4</v>
      </c>
      <c r="K21" s="33">
        <v>85.536000000000001</v>
      </c>
      <c r="L21" s="33">
        <v>85.536000000000001</v>
      </c>
      <c r="M21" s="33">
        <v>0</v>
      </c>
      <c r="N21" s="33">
        <v>0</v>
      </c>
      <c r="O21" s="38">
        <v>1121.47</v>
      </c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</row>
    <row r="22" spans="1:28" x14ac:dyDescent="0.3">
      <c r="A22" s="32">
        <v>21</v>
      </c>
      <c r="B22" s="33" t="s">
        <v>554</v>
      </c>
      <c r="C22" s="34">
        <v>45771</v>
      </c>
      <c r="D22" s="33" t="s">
        <v>541</v>
      </c>
      <c r="E22" s="33" t="s">
        <v>46</v>
      </c>
      <c r="F22" s="36">
        <v>4820</v>
      </c>
      <c r="G22" s="36">
        <v>2</v>
      </c>
      <c r="H22" s="36"/>
      <c r="I22" s="36"/>
      <c r="J22" s="36">
        <v>600</v>
      </c>
      <c r="K22" s="33">
        <v>54</v>
      </c>
      <c r="L22" s="33">
        <v>54</v>
      </c>
      <c r="M22" s="33">
        <v>0</v>
      </c>
      <c r="N22" s="33">
        <v>0</v>
      </c>
      <c r="O22" s="36">
        <v>708</v>
      </c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</row>
    <row r="23" spans="1:28" x14ac:dyDescent="0.3">
      <c r="A23" s="32">
        <v>22</v>
      </c>
      <c r="B23" s="33" t="s">
        <v>555</v>
      </c>
      <c r="C23" s="34">
        <v>45772</v>
      </c>
      <c r="D23" s="33" t="s">
        <v>526</v>
      </c>
      <c r="E23" s="33" t="s">
        <v>49</v>
      </c>
      <c r="F23" s="36">
        <v>49110000</v>
      </c>
      <c r="G23" s="36">
        <v>9523</v>
      </c>
      <c r="H23" s="36"/>
      <c r="I23" s="36"/>
      <c r="J23" s="36">
        <v>35996.94</v>
      </c>
      <c r="K23" s="33">
        <v>0</v>
      </c>
      <c r="L23" s="33">
        <v>0</v>
      </c>
      <c r="M23" s="33">
        <v>6479.4492</v>
      </c>
      <c r="N23" s="33">
        <v>0</v>
      </c>
      <c r="O23" s="38">
        <v>42476.39</v>
      </c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</row>
    <row r="24" spans="1:28" x14ac:dyDescent="0.3">
      <c r="A24" s="32"/>
      <c r="B24" s="33"/>
      <c r="C24" s="33"/>
      <c r="D24" s="33" t="s">
        <v>314</v>
      </c>
      <c r="E24" s="33"/>
      <c r="F24" s="36"/>
      <c r="G24" s="36"/>
      <c r="H24" s="36"/>
      <c r="I24" s="36"/>
      <c r="J24" s="36"/>
      <c r="K24" s="33"/>
      <c r="L24" s="33"/>
      <c r="M24" s="33"/>
      <c r="N24" s="33"/>
      <c r="O24" s="36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</row>
    <row r="25" spans="1:28" x14ac:dyDescent="0.3">
      <c r="A25" s="32">
        <v>24</v>
      </c>
      <c r="B25" s="71" t="s">
        <v>556</v>
      </c>
      <c r="C25" s="34">
        <v>45773</v>
      </c>
      <c r="D25" s="33" t="s">
        <v>557</v>
      </c>
      <c r="E25" s="33" t="s">
        <v>85</v>
      </c>
      <c r="F25" s="36">
        <v>3919</v>
      </c>
      <c r="G25" s="36">
        <v>1000</v>
      </c>
      <c r="H25" s="36"/>
      <c r="I25" s="36"/>
      <c r="J25" s="36">
        <v>1800</v>
      </c>
      <c r="K25" s="33">
        <v>0</v>
      </c>
      <c r="L25" s="33">
        <v>0</v>
      </c>
      <c r="M25" s="33">
        <v>324</v>
      </c>
      <c r="N25" s="33">
        <v>0</v>
      </c>
      <c r="O25" s="38">
        <v>2124</v>
      </c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</row>
    <row r="26" spans="1:28" x14ac:dyDescent="0.3">
      <c r="A26" s="32">
        <v>25</v>
      </c>
      <c r="B26" s="71" t="s">
        <v>558</v>
      </c>
      <c r="C26" s="34">
        <v>45773</v>
      </c>
      <c r="D26" s="33" t="s">
        <v>557</v>
      </c>
      <c r="E26" s="33" t="s">
        <v>85</v>
      </c>
      <c r="F26" s="36">
        <v>4820</v>
      </c>
      <c r="G26" s="36">
        <v>196</v>
      </c>
      <c r="H26" s="36"/>
      <c r="I26" s="36"/>
      <c r="J26" s="36">
        <v>27440</v>
      </c>
      <c r="K26" s="33">
        <v>0</v>
      </c>
      <c r="L26" s="33">
        <v>0</v>
      </c>
      <c r="M26" s="33">
        <v>4939.2</v>
      </c>
      <c r="N26" s="33">
        <v>0</v>
      </c>
      <c r="O26" s="38">
        <v>32379.200000000001</v>
      </c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</row>
    <row r="27" spans="1:28" x14ac:dyDescent="0.3">
      <c r="A27" s="32">
        <v>26</v>
      </c>
      <c r="B27" s="71" t="s">
        <v>559</v>
      </c>
      <c r="C27" s="34">
        <v>45773</v>
      </c>
      <c r="D27" s="33" t="s">
        <v>557</v>
      </c>
      <c r="E27" s="33" t="s">
        <v>85</v>
      </c>
      <c r="F27" s="36">
        <v>4820</v>
      </c>
      <c r="G27" s="36">
        <v>16</v>
      </c>
      <c r="H27" s="36"/>
      <c r="I27" s="36"/>
      <c r="J27" s="36">
        <v>16480</v>
      </c>
      <c r="K27" s="33">
        <v>0</v>
      </c>
      <c r="L27" s="33">
        <v>0</v>
      </c>
      <c r="M27" s="33">
        <v>2966.4</v>
      </c>
      <c r="N27" s="33">
        <v>0</v>
      </c>
      <c r="O27" s="38">
        <v>19446.400000000001</v>
      </c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</row>
    <row r="28" spans="1:28" x14ac:dyDescent="0.3">
      <c r="A28" s="32">
        <v>27</v>
      </c>
      <c r="B28" s="33" t="s">
        <v>560</v>
      </c>
      <c r="C28" s="34">
        <v>45775</v>
      </c>
      <c r="D28" s="33" t="s">
        <v>75</v>
      </c>
      <c r="E28" s="33" t="s">
        <v>536</v>
      </c>
      <c r="F28" s="36">
        <v>3919</v>
      </c>
      <c r="G28" s="36">
        <v>250</v>
      </c>
      <c r="H28" s="36"/>
      <c r="I28" s="36"/>
      <c r="J28" s="36">
        <v>2750</v>
      </c>
      <c r="K28" s="33">
        <v>0</v>
      </c>
      <c r="L28" s="33">
        <v>0</v>
      </c>
      <c r="M28" s="33">
        <v>495</v>
      </c>
      <c r="N28" s="33">
        <v>0</v>
      </c>
      <c r="O28" s="38">
        <v>3245</v>
      </c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</row>
    <row r="29" spans="1:28" x14ac:dyDescent="0.3">
      <c r="A29" s="32">
        <v>28</v>
      </c>
      <c r="B29" s="33" t="s">
        <v>561</v>
      </c>
      <c r="C29" s="34">
        <v>45777</v>
      </c>
      <c r="D29" s="33" t="s">
        <v>318</v>
      </c>
      <c r="E29" s="33" t="s">
        <v>319</v>
      </c>
      <c r="F29" s="36">
        <v>7219</v>
      </c>
      <c r="G29" s="36">
        <v>110</v>
      </c>
      <c r="H29" s="36"/>
      <c r="I29" s="36"/>
      <c r="J29" s="36">
        <v>9460</v>
      </c>
      <c r="K29" s="33">
        <v>0</v>
      </c>
      <c r="L29" s="33">
        <v>0</v>
      </c>
      <c r="M29" s="33">
        <v>1702.8</v>
      </c>
      <c r="N29" s="33">
        <v>0</v>
      </c>
      <c r="O29" s="38">
        <v>11162.8</v>
      </c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</row>
    <row r="30" spans="1:28" x14ac:dyDescent="0.3">
      <c r="A30" s="32"/>
      <c r="B30" s="33"/>
      <c r="C30" s="33"/>
      <c r="D30" s="33"/>
      <c r="E30" s="33"/>
      <c r="F30" s="36"/>
      <c r="G30" s="36"/>
      <c r="H30" s="36"/>
      <c r="I30" s="36"/>
      <c r="J30" s="36"/>
      <c r="K30" s="33"/>
      <c r="L30" s="33"/>
      <c r="M30" s="33"/>
      <c r="N30" s="33"/>
      <c r="O30" s="36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 spans="1:28" x14ac:dyDescent="0.3">
      <c r="A31" s="32"/>
      <c r="B31" s="33"/>
      <c r="C31" s="33"/>
      <c r="D31" s="33"/>
      <c r="E31" s="33"/>
      <c r="F31" s="36"/>
      <c r="G31" s="36"/>
      <c r="H31" s="36"/>
      <c r="I31" s="36"/>
      <c r="J31" s="36"/>
      <c r="K31" s="33"/>
      <c r="L31" s="33"/>
      <c r="M31" s="33"/>
      <c r="N31" s="33"/>
      <c r="O31" s="36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</row>
    <row r="32" spans="1:28" x14ac:dyDescent="0.3">
      <c r="A32" s="32"/>
      <c r="B32" s="33"/>
      <c r="C32" s="33"/>
      <c r="D32" s="33"/>
      <c r="E32" s="33"/>
      <c r="F32" s="36"/>
      <c r="G32" s="36"/>
      <c r="H32" s="36"/>
      <c r="I32" s="36"/>
      <c r="J32" s="36"/>
      <c r="K32" s="33"/>
      <c r="L32" s="33"/>
      <c r="M32" s="33"/>
      <c r="N32" s="33"/>
      <c r="O32" s="36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</row>
    <row r="33" spans="1:28" x14ac:dyDescent="0.3">
      <c r="A33" s="32"/>
      <c r="B33" s="33"/>
      <c r="C33" s="33"/>
      <c r="D33" s="33"/>
      <c r="E33" s="33"/>
      <c r="F33" s="36"/>
      <c r="G33" s="36"/>
      <c r="H33" s="36"/>
      <c r="I33" s="36"/>
      <c r="J33" s="36"/>
      <c r="K33" s="33"/>
      <c r="L33" s="33"/>
      <c r="M33" s="33"/>
      <c r="N33" s="33"/>
      <c r="O33" s="36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</row>
    <row r="34" spans="1:28" x14ac:dyDescent="0.3">
      <c r="A34" s="32"/>
      <c r="B34" s="33"/>
      <c r="C34" s="33"/>
      <c r="D34" s="33"/>
      <c r="E34" s="33"/>
      <c r="F34" s="36"/>
      <c r="G34" s="36"/>
      <c r="H34" s="36"/>
      <c r="I34" s="36"/>
      <c r="J34" s="36"/>
      <c r="K34" s="33"/>
      <c r="L34" s="33"/>
      <c r="M34" s="33"/>
      <c r="N34" s="33"/>
      <c r="O34" s="36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</row>
    <row r="35" spans="1:28" x14ac:dyDescent="0.3">
      <c r="A35" s="32"/>
      <c r="B35" s="33"/>
      <c r="C35" s="33"/>
      <c r="D35" s="33"/>
      <c r="E35" s="33"/>
      <c r="F35" s="36"/>
      <c r="G35" s="36"/>
      <c r="H35" s="36"/>
      <c r="I35" s="36"/>
      <c r="J35" s="36"/>
      <c r="K35" s="33"/>
      <c r="L35" s="33"/>
      <c r="M35" s="33"/>
      <c r="N35" s="33"/>
      <c r="O35" s="36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</row>
    <row r="36" spans="1:28" x14ac:dyDescent="0.3">
      <c r="A36" s="32"/>
      <c r="B36" s="33"/>
      <c r="C36" s="33"/>
      <c r="D36" s="33"/>
      <c r="E36" s="33"/>
      <c r="F36" s="36"/>
      <c r="G36" s="36"/>
      <c r="H36" s="36"/>
      <c r="I36" s="36"/>
      <c r="J36" s="36"/>
      <c r="K36" s="33"/>
      <c r="L36" s="33"/>
      <c r="M36" s="33"/>
      <c r="N36" s="33"/>
      <c r="O36" s="36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</row>
    <row r="37" spans="1:28" x14ac:dyDescent="0.3">
      <c r="A37" s="32"/>
      <c r="B37" s="33"/>
      <c r="C37" s="33"/>
      <c r="D37" s="33"/>
      <c r="E37" s="33"/>
      <c r="F37" s="36"/>
      <c r="G37" s="36"/>
      <c r="H37" s="36"/>
      <c r="I37" s="36"/>
      <c r="J37" s="36"/>
      <c r="K37" s="33"/>
      <c r="L37" s="33"/>
      <c r="M37" s="33"/>
      <c r="N37" s="33"/>
      <c r="O37" s="36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  <row r="38" spans="1:28" x14ac:dyDescent="0.3">
      <c r="A38" s="32"/>
      <c r="B38" s="33"/>
      <c r="C38" s="33"/>
      <c r="D38" s="33"/>
      <c r="E38" s="33"/>
      <c r="F38" s="36"/>
      <c r="G38" s="36"/>
      <c r="H38" s="36"/>
      <c r="I38" s="36"/>
      <c r="J38" s="36"/>
      <c r="K38" s="33"/>
      <c r="L38" s="33"/>
      <c r="M38" s="33"/>
      <c r="N38" s="33"/>
      <c r="O38" s="36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</row>
    <row r="39" spans="1:28" x14ac:dyDescent="0.3">
      <c r="A39" s="32"/>
      <c r="B39" s="33"/>
      <c r="C39" s="33"/>
      <c r="D39" s="33"/>
      <c r="E39" s="33"/>
      <c r="F39" s="36"/>
      <c r="G39" s="36"/>
      <c r="H39" s="36"/>
      <c r="I39" s="36"/>
      <c r="J39" s="36"/>
      <c r="K39" s="33"/>
      <c r="L39" s="33"/>
      <c r="M39" s="33"/>
      <c r="N39" s="33"/>
      <c r="O39" s="36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</row>
    <row r="40" spans="1:28" x14ac:dyDescent="0.3">
      <c r="A40" s="32"/>
      <c r="B40" s="33"/>
      <c r="C40" s="33"/>
      <c r="D40" s="33"/>
      <c r="E40" s="33"/>
      <c r="F40" s="36"/>
      <c r="G40" s="36"/>
      <c r="H40" s="36"/>
      <c r="I40" s="36"/>
      <c r="J40" s="36"/>
      <c r="K40" s="33"/>
      <c r="L40" s="33"/>
      <c r="M40" s="33"/>
      <c r="N40" s="33"/>
      <c r="O40" s="36"/>
      <c r="P40" s="115"/>
      <c r="Q40" s="117"/>
      <c r="R40" s="117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</row>
    <row r="41" spans="1:28" x14ac:dyDescent="0.3">
      <c r="A41" s="32"/>
      <c r="B41" s="33"/>
      <c r="C41" s="33"/>
      <c r="D41" s="33"/>
      <c r="E41" s="33"/>
      <c r="F41" s="36"/>
      <c r="G41" s="36"/>
      <c r="H41" s="36"/>
      <c r="I41" s="36"/>
      <c r="J41" s="36"/>
      <c r="K41" s="33"/>
      <c r="L41" s="33"/>
      <c r="M41" s="33"/>
      <c r="N41" s="33"/>
      <c r="O41" s="36"/>
      <c r="P41" s="118"/>
      <c r="Q41" s="112" t="s">
        <v>24</v>
      </c>
      <c r="R41" s="109">
        <v>415573.39</v>
      </c>
      <c r="S41" s="115"/>
      <c r="T41" s="115"/>
      <c r="U41" s="115"/>
      <c r="V41" s="115"/>
      <c r="W41" s="115"/>
      <c r="X41" s="115"/>
      <c r="Y41" s="115"/>
      <c r="Z41" s="115"/>
      <c r="AA41" s="115"/>
      <c r="AB41" s="115"/>
    </row>
    <row r="42" spans="1:28" x14ac:dyDescent="0.3">
      <c r="A42" s="32"/>
      <c r="B42" s="33"/>
      <c r="C42" s="33"/>
      <c r="D42" s="33"/>
      <c r="E42" s="33"/>
      <c r="F42" s="36"/>
      <c r="G42" s="36"/>
      <c r="H42" s="36"/>
      <c r="I42" s="36"/>
      <c r="J42" s="36"/>
      <c r="K42" s="33"/>
      <c r="L42" s="33"/>
      <c r="M42" s="33"/>
      <c r="N42" s="33"/>
      <c r="O42" s="36"/>
      <c r="P42" s="118"/>
      <c r="Q42" s="112" t="s">
        <v>108</v>
      </c>
      <c r="R42" s="110">
        <v>223163.87</v>
      </c>
      <c r="S42" s="115"/>
      <c r="T42" s="115"/>
      <c r="U42" s="115"/>
      <c r="V42" s="115"/>
      <c r="W42" s="115"/>
      <c r="X42" s="115"/>
      <c r="Y42" s="115"/>
      <c r="Z42" s="115"/>
      <c r="AA42" s="115"/>
      <c r="AB42" s="115"/>
    </row>
    <row r="43" spans="1:28" x14ac:dyDescent="0.3">
      <c r="A43" s="145" t="s">
        <v>172</v>
      </c>
      <c r="B43" s="146"/>
      <c r="C43" s="146"/>
      <c r="D43" s="146"/>
      <c r="E43" s="147"/>
      <c r="F43" s="33"/>
      <c r="G43" s="33"/>
      <c r="H43" s="33"/>
      <c r="I43" s="33"/>
      <c r="J43" s="40">
        <v>352180.84</v>
      </c>
      <c r="K43" s="41">
        <v>12846.18</v>
      </c>
      <c r="L43" s="41">
        <v>12846.18</v>
      </c>
      <c r="M43" s="41">
        <v>37700.19</v>
      </c>
      <c r="N43" s="40">
        <v>0</v>
      </c>
      <c r="O43" s="41">
        <v>415573.39</v>
      </c>
      <c r="P43" s="118"/>
      <c r="Q43" s="112" t="s">
        <v>200</v>
      </c>
      <c r="R43" s="111">
        <v>192409.52</v>
      </c>
      <c r="S43" s="115"/>
      <c r="T43" s="115"/>
      <c r="U43" s="115"/>
      <c r="V43" s="115"/>
      <c r="W43" s="115"/>
      <c r="X43" s="115"/>
      <c r="Y43" s="115"/>
      <c r="Z43" s="115"/>
      <c r="AA43" s="115"/>
      <c r="AB43" s="115"/>
    </row>
    <row r="44" spans="1:28" x14ac:dyDescent="0.3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</row>
    <row r="45" spans="1:28" x14ac:dyDescent="0.3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5"/>
      <c r="Q45" s="117"/>
      <c r="R45" s="117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</row>
    <row r="46" spans="1:28" x14ac:dyDescent="0.3">
      <c r="A46" s="153" t="s">
        <v>173</v>
      </c>
      <c r="B46" s="154"/>
      <c r="C46" s="155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7"/>
      <c r="P46" s="118"/>
      <c r="Q46" s="112" t="s">
        <v>503</v>
      </c>
      <c r="R46" s="109">
        <v>63392.55</v>
      </c>
      <c r="S46" s="115"/>
      <c r="T46" s="115"/>
      <c r="U46" s="115"/>
      <c r="V46" s="115"/>
      <c r="W46" s="115"/>
      <c r="X46" s="115"/>
      <c r="Y46" s="115"/>
      <c r="Z46" s="115"/>
      <c r="AA46" s="115"/>
      <c r="AB46" s="115"/>
    </row>
    <row r="47" spans="1:28" x14ac:dyDescent="0.3">
      <c r="A47" s="43" t="s">
        <v>174</v>
      </c>
      <c r="B47" s="44" t="s">
        <v>26</v>
      </c>
      <c r="C47" s="44" t="s">
        <v>27</v>
      </c>
      <c r="D47" s="44" t="s">
        <v>28</v>
      </c>
      <c r="E47" s="44" t="s">
        <v>29</v>
      </c>
      <c r="F47" s="71"/>
      <c r="G47" s="71"/>
      <c r="H47" s="71"/>
      <c r="I47" s="71"/>
      <c r="J47" s="44" t="s">
        <v>175</v>
      </c>
      <c r="K47" s="44" t="s">
        <v>36</v>
      </c>
      <c r="L47" s="44" t="s">
        <v>37</v>
      </c>
      <c r="M47" s="44" t="s">
        <v>38</v>
      </c>
      <c r="N47" s="44" t="s">
        <v>176</v>
      </c>
      <c r="O47" s="44" t="s">
        <v>177</v>
      </c>
      <c r="P47" s="118"/>
      <c r="Q47" s="112" t="s">
        <v>199</v>
      </c>
      <c r="R47" s="112">
        <v>36094.383199999997</v>
      </c>
      <c r="S47" s="115"/>
      <c r="T47" s="115"/>
      <c r="U47" s="115"/>
      <c r="V47" s="115"/>
      <c r="W47" s="115"/>
      <c r="X47" s="115"/>
      <c r="Y47" s="115"/>
      <c r="Z47" s="115"/>
      <c r="AA47" s="115"/>
      <c r="AB47" s="115"/>
    </row>
    <row r="48" spans="1:28" x14ac:dyDescent="0.3">
      <c r="A48" s="32">
        <v>1</v>
      </c>
      <c r="B48" s="33">
        <v>14</v>
      </c>
      <c r="C48" s="34">
        <v>45755</v>
      </c>
      <c r="D48" s="33" t="s">
        <v>455</v>
      </c>
      <c r="E48" s="33" t="s">
        <v>116</v>
      </c>
      <c r="F48" s="33"/>
      <c r="G48" s="33"/>
      <c r="H48" s="33"/>
      <c r="I48" s="33"/>
      <c r="J48" s="114">
        <v>29663</v>
      </c>
      <c r="K48" s="33">
        <v>0</v>
      </c>
      <c r="L48" s="33">
        <v>0</v>
      </c>
      <c r="M48" s="33">
        <v>5339.34</v>
      </c>
      <c r="N48" s="33">
        <v>0</v>
      </c>
      <c r="O48" s="38">
        <v>35002.339999999997</v>
      </c>
      <c r="P48" s="115"/>
      <c r="Q48" s="115" t="s">
        <v>200</v>
      </c>
      <c r="R48" s="113">
        <v>27298.17</v>
      </c>
      <c r="S48" s="115"/>
      <c r="T48" s="115"/>
      <c r="U48" s="115"/>
      <c r="V48" s="115"/>
      <c r="W48" s="115"/>
      <c r="X48" s="115"/>
      <c r="Y48" s="115"/>
      <c r="Z48" s="115"/>
      <c r="AA48" s="115"/>
      <c r="AB48" s="115"/>
    </row>
    <row r="49" spans="1:28" x14ac:dyDescent="0.3">
      <c r="A49" s="32">
        <v>2</v>
      </c>
      <c r="B49" s="33">
        <v>15409917</v>
      </c>
      <c r="C49" s="34">
        <v>45764</v>
      </c>
      <c r="D49" s="33" t="s">
        <v>562</v>
      </c>
      <c r="E49" s="33" t="s">
        <v>563</v>
      </c>
      <c r="F49" s="33"/>
      <c r="G49" s="33"/>
      <c r="H49" s="33"/>
      <c r="I49" s="33"/>
      <c r="J49" s="114">
        <v>1429</v>
      </c>
      <c r="K49" s="33">
        <v>0</v>
      </c>
      <c r="L49" s="33">
        <v>0</v>
      </c>
      <c r="M49" s="33">
        <v>257.22000000000003</v>
      </c>
      <c r="N49" s="33">
        <v>0</v>
      </c>
      <c r="O49" s="38">
        <v>1686.22</v>
      </c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</row>
    <row r="50" spans="1:28" x14ac:dyDescent="0.3">
      <c r="A50" s="32">
        <v>3</v>
      </c>
      <c r="B50" s="33" t="s">
        <v>564</v>
      </c>
      <c r="C50" s="34">
        <v>45765</v>
      </c>
      <c r="D50" s="33" t="s">
        <v>565</v>
      </c>
      <c r="E50" s="33" t="s">
        <v>566</v>
      </c>
      <c r="F50" s="33"/>
      <c r="G50" s="33"/>
      <c r="H50" s="33"/>
      <c r="I50" s="33"/>
      <c r="J50" s="114">
        <v>5700</v>
      </c>
      <c r="K50" s="33">
        <v>0</v>
      </c>
      <c r="L50" s="33">
        <v>0</v>
      </c>
      <c r="M50" s="33">
        <v>1026</v>
      </c>
      <c r="N50" s="33">
        <v>0</v>
      </c>
      <c r="O50" s="38">
        <v>6726</v>
      </c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</row>
    <row r="51" spans="1:28" x14ac:dyDescent="0.3">
      <c r="A51" s="32">
        <v>4</v>
      </c>
      <c r="B51" s="33" t="s">
        <v>567</v>
      </c>
      <c r="C51" s="34">
        <v>45765</v>
      </c>
      <c r="D51" s="33" t="s">
        <v>568</v>
      </c>
      <c r="E51" s="33" t="s">
        <v>569</v>
      </c>
      <c r="F51" s="33"/>
      <c r="G51" s="33"/>
      <c r="H51" s="33"/>
      <c r="I51" s="33"/>
      <c r="J51" s="114">
        <v>12100</v>
      </c>
      <c r="K51" s="33">
        <v>0</v>
      </c>
      <c r="L51" s="33">
        <v>0</v>
      </c>
      <c r="M51" s="33">
        <v>2178</v>
      </c>
      <c r="N51" s="33">
        <v>0</v>
      </c>
      <c r="O51" s="38">
        <v>14278</v>
      </c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</row>
    <row r="52" spans="1:28" x14ac:dyDescent="0.3">
      <c r="A52" s="32">
        <v>5</v>
      </c>
      <c r="B52" s="33">
        <v>1985</v>
      </c>
      <c r="C52" s="34">
        <v>45769</v>
      </c>
      <c r="D52" s="33" t="s">
        <v>113</v>
      </c>
      <c r="E52" s="33" t="s">
        <v>114</v>
      </c>
      <c r="F52" s="33"/>
      <c r="G52" s="33"/>
      <c r="H52" s="33"/>
      <c r="I52" s="33"/>
      <c r="J52" s="114">
        <v>82500</v>
      </c>
      <c r="K52" s="33">
        <v>7425</v>
      </c>
      <c r="L52" s="33">
        <v>7425</v>
      </c>
      <c r="M52" s="33">
        <v>0</v>
      </c>
      <c r="N52" s="33">
        <v>0</v>
      </c>
      <c r="O52" s="38">
        <v>97350</v>
      </c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</row>
    <row r="53" spans="1:28" x14ac:dyDescent="0.3">
      <c r="A53" s="32">
        <v>6</v>
      </c>
      <c r="B53" s="33">
        <v>65</v>
      </c>
      <c r="C53" s="34">
        <v>45771</v>
      </c>
      <c r="D53" s="33" t="s">
        <v>514</v>
      </c>
      <c r="E53" s="33" t="s">
        <v>515</v>
      </c>
      <c r="F53" s="33"/>
      <c r="G53" s="33"/>
      <c r="H53" s="33"/>
      <c r="I53" s="33"/>
      <c r="J53" s="114">
        <v>10000</v>
      </c>
      <c r="K53" s="33">
        <v>900</v>
      </c>
      <c r="L53" s="33">
        <v>900</v>
      </c>
      <c r="M53" s="33">
        <v>0</v>
      </c>
      <c r="N53" s="33">
        <v>0</v>
      </c>
      <c r="O53" s="38">
        <v>11800</v>
      </c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</row>
    <row r="54" spans="1:28" x14ac:dyDescent="0.3">
      <c r="A54" s="32">
        <v>8</v>
      </c>
      <c r="B54" s="33">
        <v>1867</v>
      </c>
      <c r="C54" s="34">
        <v>45775</v>
      </c>
      <c r="D54" s="33" t="s">
        <v>570</v>
      </c>
      <c r="E54" s="33" t="s">
        <v>457</v>
      </c>
      <c r="F54" s="33"/>
      <c r="G54" s="33"/>
      <c r="H54" s="33"/>
      <c r="I54" s="33"/>
      <c r="J54" s="33">
        <v>3208.74</v>
      </c>
      <c r="K54" s="33">
        <v>288.78660000000002</v>
      </c>
      <c r="L54" s="33">
        <v>288.78660000000002</v>
      </c>
      <c r="M54" s="33">
        <v>0</v>
      </c>
      <c r="N54" s="33">
        <v>0</v>
      </c>
      <c r="O54" s="38">
        <v>3786.31</v>
      </c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</row>
    <row r="55" spans="1:28" x14ac:dyDescent="0.3">
      <c r="A55" s="32">
        <v>9</v>
      </c>
      <c r="B55" s="33">
        <v>43</v>
      </c>
      <c r="C55" s="34">
        <v>45775</v>
      </c>
      <c r="D55" s="33" t="s">
        <v>455</v>
      </c>
      <c r="E55" s="33" t="s">
        <v>116</v>
      </c>
      <c r="F55" s="33"/>
      <c r="G55" s="33"/>
      <c r="H55" s="33"/>
      <c r="I55" s="33"/>
      <c r="J55" s="33">
        <v>2250</v>
      </c>
      <c r="K55" s="33">
        <v>0</v>
      </c>
      <c r="L55" s="33">
        <v>0</v>
      </c>
      <c r="M55" s="33">
        <v>405</v>
      </c>
      <c r="N55" s="33">
        <v>0</v>
      </c>
      <c r="O55" s="38">
        <v>2655</v>
      </c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</row>
    <row r="56" spans="1:28" x14ac:dyDescent="0.3">
      <c r="A56" s="32">
        <v>10</v>
      </c>
      <c r="B56" s="33" t="s">
        <v>571</v>
      </c>
      <c r="C56" s="34">
        <v>45776</v>
      </c>
      <c r="D56" s="33" t="s">
        <v>572</v>
      </c>
      <c r="E56" s="33" t="s">
        <v>573</v>
      </c>
      <c r="F56" s="33"/>
      <c r="G56" s="33"/>
      <c r="H56" s="33"/>
      <c r="I56" s="33"/>
      <c r="J56" s="33">
        <v>24218.75</v>
      </c>
      <c r="K56" s="33">
        <v>3390.625</v>
      </c>
      <c r="L56" s="33">
        <v>3390.625</v>
      </c>
      <c r="M56" s="33">
        <v>0</v>
      </c>
      <c r="N56" s="33">
        <v>0</v>
      </c>
      <c r="O56" s="38">
        <v>31000</v>
      </c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</row>
    <row r="57" spans="1:28" x14ac:dyDescent="0.3">
      <c r="A57" s="32">
        <v>11</v>
      </c>
      <c r="B57" s="33" t="s">
        <v>574</v>
      </c>
      <c r="C57" s="34">
        <v>45777</v>
      </c>
      <c r="D57" s="33" t="s">
        <v>575</v>
      </c>
      <c r="E57" s="33" t="s">
        <v>196</v>
      </c>
      <c r="F57" s="33"/>
      <c r="G57" s="33"/>
      <c r="H57" s="33"/>
      <c r="I57" s="33"/>
      <c r="J57" s="33">
        <v>16000</v>
      </c>
      <c r="K57" s="33">
        <v>0</v>
      </c>
      <c r="L57" s="33">
        <v>0</v>
      </c>
      <c r="M57" s="33">
        <v>2880</v>
      </c>
      <c r="N57" s="33">
        <v>0</v>
      </c>
      <c r="O57" s="38">
        <v>18880</v>
      </c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</row>
    <row r="58" spans="1:28" x14ac:dyDescent="0.3">
      <c r="A58" s="32"/>
      <c r="B58" s="33"/>
      <c r="C58" s="33"/>
      <c r="D58" s="33"/>
      <c r="E58" s="33"/>
      <c r="F58" s="33"/>
      <c r="G58" s="33"/>
      <c r="H58" s="33"/>
      <c r="I58" s="33"/>
      <c r="J58" s="33"/>
      <c r="K58" s="36"/>
      <c r="L58" s="33"/>
      <c r="M58" s="33"/>
      <c r="N58" s="33"/>
      <c r="O58" s="33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</row>
    <row r="59" spans="1:28" x14ac:dyDescent="0.3">
      <c r="A59" s="32"/>
      <c r="B59" s="33"/>
      <c r="C59" s="33"/>
      <c r="D59" s="33"/>
      <c r="E59" s="33"/>
      <c r="F59" s="33"/>
      <c r="G59" s="33"/>
      <c r="H59" s="33"/>
      <c r="I59" s="33"/>
      <c r="J59" s="33"/>
      <c r="K59" s="36"/>
      <c r="L59" s="33"/>
      <c r="M59" s="33"/>
      <c r="N59" s="33"/>
      <c r="O59" s="33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</row>
    <row r="60" spans="1:28" x14ac:dyDescent="0.3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</row>
    <row r="61" spans="1:28" x14ac:dyDescent="0.3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</row>
    <row r="62" spans="1:28" x14ac:dyDescent="0.3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</row>
    <row r="63" spans="1:28" x14ac:dyDescent="0.3">
      <c r="A63" s="3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</row>
    <row r="64" spans="1:28" x14ac:dyDescent="0.3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</row>
    <row r="65" spans="1:28" x14ac:dyDescent="0.3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</row>
    <row r="66" spans="1:28" x14ac:dyDescent="0.3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</row>
    <row r="67" spans="1:28" x14ac:dyDescent="0.3">
      <c r="A67" s="145" t="s">
        <v>172</v>
      </c>
      <c r="B67" s="146"/>
      <c r="C67" s="146"/>
      <c r="D67" s="146"/>
      <c r="E67" s="147"/>
      <c r="F67" s="36"/>
      <c r="G67" s="36"/>
      <c r="H67" s="36"/>
      <c r="I67" s="36"/>
      <c r="J67" s="50">
        <v>187069.49</v>
      </c>
      <c r="K67" s="51">
        <v>12004.411599999999</v>
      </c>
      <c r="L67" s="51">
        <v>12004.411599999999</v>
      </c>
      <c r="M67" s="51">
        <v>12085.56</v>
      </c>
      <c r="N67" s="51">
        <v>0</v>
      </c>
      <c r="O67" s="50">
        <v>223163.87</v>
      </c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</row>
    <row r="68" spans="1:28" x14ac:dyDescent="0.3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</row>
    <row r="69" spans="1:28" x14ac:dyDescent="0.3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</row>
    <row r="70" spans="1:28" x14ac:dyDescent="0.3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</row>
    <row r="71" spans="1:28" x14ac:dyDescent="0.3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</row>
    <row r="72" spans="1:28" x14ac:dyDescent="0.3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</row>
    <row r="73" spans="1:28" x14ac:dyDescent="0.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</row>
    <row r="74" spans="1:28" x14ac:dyDescent="0.3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</row>
    <row r="75" spans="1:28" x14ac:dyDescent="0.3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</row>
    <row r="76" spans="1:28" x14ac:dyDescent="0.3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</row>
    <row r="77" spans="1:28" x14ac:dyDescent="0.3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</row>
    <row r="78" spans="1:28" x14ac:dyDescent="0.3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</row>
    <row r="79" spans="1:28" x14ac:dyDescent="0.3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</row>
    <row r="80" spans="1:28" x14ac:dyDescent="0.3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</row>
    <row r="81" spans="1:28" x14ac:dyDescent="0.3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</row>
    <row r="82" spans="1:28" x14ac:dyDescent="0.3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</row>
    <row r="83" spans="1:28" x14ac:dyDescent="0.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</row>
    <row r="84" spans="1:28" x14ac:dyDescent="0.3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</row>
    <row r="85" spans="1:28" x14ac:dyDescent="0.3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</row>
    <row r="86" spans="1:28" x14ac:dyDescent="0.3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</row>
    <row r="87" spans="1:28" x14ac:dyDescent="0.3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</row>
    <row r="88" spans="1:28" x14ac:dyDescent="0.3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</row>
    <row r="89" spans="1:28" x14ac:dyDescent="0.3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</row>
    <row r="90" spans="1:28" x14ac:dyDescent="0.3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</row>
    <row r="91" spans="1:28" x14ac:dyDescent="0.3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</row>
    <row r="92" spans="1:28" x14ac:dyDescent="0.3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</row>
    <row r="93" spans="1:28" x14ac:dyDescent="0.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</row>
    <row r="94" spans="1:28" x14ac:dyDescent="0.3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</row>
    <row r="95" spans="1:28" x14ac:dyDescent="0.3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</row>
    <row r="96" spans="1:28" x14ac:dyDescent="0.3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</row>
    <row r="97" spans="1:28" x14ac:dyDescent="0.3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</row>
    <row r="98" spans="1:28" x14ac:dyDescent="0.3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</row>
    <row r="99" spans="1:28" x14ac:dyDescent="0.3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</row>
    <row r="100" spans="1:28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</row>
    <row r="101" spans="1:28" x14ac:dyDescent="0.3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</row>
    <row r="102" spans="1:28" x14ac:dyDescent="0.3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</row>
    <row r="103" spans="1:28" x14ac:dyDescent="0.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</row>
    <row r="104" spans="1:28" x14ac:dyDescent="0.3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</row>
    <row r="105" spans="1:28" x14ac:dyDescent="0.3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</row>
    <row r="106" spans="1:28" x14ac:dyDescent="0.3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</row>
    <row r="107" spans="1:28" x14ac:dyDescent="0.3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</row>
    <row r="108" spans="1:28" x14ac:dyDescent="0.3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</row>
    <row r="109" spans="1:28" x14ac:dyDescent="0.3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</row>
    <row r="110" spans="1:28" x14ac:dyDescent="0.3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</row>
    <row r="111" spans="1:28" x14ac:dyDescent="0.3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</row>
    <row r="112" spans="1:28" x14ac:dyDescent="0.3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</row>
    <row r="113" spans="1:28" x14ac:dyDescent="0.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</row>
    <row r="114" spans="1:28" x14ac:dyDescent="0.3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</row>
    <row r="115" spans="1:28" x14ac:dyDescent="0.3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</row>
    <row r="116" spans="1:28" x14ac:dyDescent="0.3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</row>
    <row r="117" spans="1:28" x14ac:dyDescent="0.3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</row>
    <row r="118" spans="1:28" x14ac:dyDescent="0.3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</row>
    <row r="119" spans="1:28" x14ac:dyDescent="0.3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</row>
    <row r="120" spans="1:28" x14ac:dyDescent="0.3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</row>
    <row r="121" spans="1:28" x14ac:dyDescent="0.3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</row>
    <row r="122" spans="1:28" x14ac:dyDescent="0.3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</row>
    <row r="123" spans="1:28" x14ac:dyDescent="0.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</row>
    <row r="124" spans="1:28" x14ac:dyDescent="0.3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</row>
    <row r="125" spans="1:28" x14ac:dyDescent="0.3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</row>
    <row r="126" spans="1:28" x14ac:dyDescent="0.3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</row>
    <row r="127" spans="1:28" x14ac:dyDescent="0.3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</row>
    <row r="128" spans="1:28" x14ac:dyDescent="0.3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</row>
    <row r="129" spans="1:28" x14ac:dyDescent="0.3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</row>
    <row r="130" spans="1:28" x14ac:dyDescent="0.3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</row>
    <row r="131" spans="1:28" x14ac:dyDescent="0.3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</row>
    <row r="132" spans="1:28" x14ac:dyDescent="0.3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</row>
    <row r="133" spans="1:28" x14ac:dyDescent="0.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</row>
    <row r="134" spans="1:28" x14ac:dyDescent="0.3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</row>
    <row r="135" spans="1:28" x14ac:dyDescent="0.3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</row>
    <row r="136" spans="1:28" x14ac:dyDescent="0.3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</row>
    <row r="137" spans="1:28" x14ac:dyDescent="0.3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</row>
    <row r="138" spans="1:28" x14ac:dyDescent="0.3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</row>
    <row r="139" spans="1:28" x14ac:dyDescent="0.3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</row>
    <row r="140" spans="1:28" x14ac:dyDescent="0.3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</row>
    <row r="141" spans="1:28" x14ac:dyDescent="0.3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</row>
    <row r="142" spans="1:28" x14ac:dyDescent="0.3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</row>
    <row r="143" spans="1:28" x14ac:dyDescent="0.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</row>
    <row r="144" spans="1:28" x14ac:dyDescent="0.3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</row>
    <row r="145" spans="1:28" x14ac:dyDescent="0.3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</row>
    <row r="146" spans="1:28" x14ac:dyDescent="0.3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</row>
    <row r="147" spans="1:28" x14ac:dyDescent="0.3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</row>
    <row r="148" spans="1:28" x14ac:dyDescent="0.3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</row>
    <row r="149" spans="1:28" x14ac:dyDescent="0.3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</row>
    <row r="150" spans="1:28" x14ac:dyDescent="0.3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</row>
    <row r="151" spans="1:28" x14ac:dyDescent="0.3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</row>
    <row r="152" spans="1:28" x14ac:dyDescent="0.3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</row>
    <row r="153" spans="1:28" x14ac:dyDescent="0.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</row>
    <row r="154" spans="1:28" x14ac:dyDescent="0.3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</row>
    <row r="155" spans="1:28" x14ac:dyDescent="0.3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</row>
    <row r="156" spans="1:28" x14ac:dyDescent="0.3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</row>
    <row r="157" spans="1:28" x14ac:dyDescent="0.3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</row>
    <row r="158" spans="1:28" x14ac:dyDescent="0.3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</row>
    <row r="159" spans="1:28" x14ac:dyDescent="0.3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</row>
    <row r="160" spans="1:28" x14ac:dyDescent="0.3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</row>
    <row r="161" spans="1:28" x14ac:dyDescent="0.3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</row>
    <row r="162" spans="1:28" x14ac:dyDescent="0.3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</row>
    <row r="163" spans="1:28" x14ac:dyDescent="0.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</row>
    <row r="164" spans="1:28" x14ac:dyDescent="0.3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</row>
    <row r="165" spans="1:28" x14ac:dyDescent="0.3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</row>
    <row r="166" spans="1:28" x14ac:dyDescent="0.3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</row>
    <row r="167" spans="1:28" x14ac:dyDescent="0.3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</row>
    <row r="168" spans="1:28" x14ac:dyDescent="0.3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</row>
    <row r="169" spans="1:28" x14ac:dyDescent="0.3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</row>
    <row r="170" spans="1:28" x14ac:dyDescent="0.3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</row>
    <row r="171" spans="1:28" x14ac:dyDescent="0.3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</row>
    <row r="172" spans="1:28" x14ac:dyDescent="0.3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</row>
    <row r="173" spans="1:28" x14ac:dyDescent="0.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</row>
    <row r="174" spans="1:28" x14ac:dyDescent="0.3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</row>
    <row r="175" spans="1:28" x14ac:dyDescent="0.3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</row>
    <row r="176" spans="1:28" x14ac:dyDescent="0.3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</row>
    <row r="177" spans="1:28" x14ac:dyDescent="0.3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</row>
    <row r="178" spans="1:28" x14ac:dyDescent="0.3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</row>
    <row r="179" spans="1:28" x14ac:dyDescent="0.3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</row>
    <row r="180" spans="1:28" x14ac:dyDescent="0.3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</row>
    <row r="181" spans="1:28" x14ac:dyDescent="0.3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</row>
    <row r="182" spans="1:28" x14ac:dyDescent="0.3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</row>
    <row r="183" spans="1:28" x14ac:dyDescent="0.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</row>
    <row r="184" spans="1:28" x14ac:dyDescent="0.3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</row>
    <row r="185" spans="1:28" x14ac:dyDescent="0.3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</row>
    <row r="186" spans="1:28" x14ac:dyDescent="0.3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</row>
    <row r="187" spans="1:28" x14ac:dyDescent="0.3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</row>
    <row r="188" spans="1:28" x14ac:dyDescent="0.3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</row>
    <row r="189" spans="1:28" x14ac:dyDescent="0.3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</row>
    <row r="190" spans="1:28" x14ac:dyDescent="0.3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</row>
    <row r="191" spans="1:28" x14ac:dyDescent="0.3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</row>
    <row r="192" spans="1:28" x14ac:dyDescent="0.3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</row>
    <row r="193" spans="1:28" x14ac:dyDescent="0.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</row>
    <row r="194" spans="1:28" x14ac:dyDescent="0.3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</row>
    <row r="195" spans="1:28" x14ac:dyDescent="0.3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</row>
    <row r="196" spans="1:28" x14ac:dyDescent="0.3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</row>
    <row r="197" spans="1:28" x14ac:dyDescent="0.3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</row>
    <row r="198" spans="1:28" x14ac:dyDescent="0.3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</row>
    <row r="199" spans="1:28" x14ac:dyDescent="0.3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</row>
    <row r="200" spans="1:28" x14ac:dyDescent="0.3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</row>
    <row r="201" spans="1:28" x14ac:dyDescent="0.3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</row>
    <row r="202" spans="1:28" x14ac:dyDescent="0.3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</row>
    <row r="203" spans="1:28" x14ac:dyDescent="0.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</row>
    <row r="204" spans="1:28" x14ac:dyDescent="0.3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</row>
    <row r="205" spans="1:28" x14ac:dyDescent="0.3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</row>
    <row r="206" spans="1:28" x14ac:dyDescent="0.3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</row>
    <row r="207" spans="1:28" x14ac:dyDescent="0.3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</row>
    <row r="208" spans="1:28" x14ac:dyDescent="0.3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</row>
    <row r="209" spans="1:28" x14ac:dyDescent="0.3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</row>
    <row r="210" spans="1:28" x14ac:dyDescent="0.3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</row>
    <row r="211" spans="1:28" x14ac:dyDescent="0.3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</row>
    <row r="212" spans="1:28" x14ac:dyDescent="0.3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</row>
    <row r="213" spans="1:28" x14ac:dyDescent="0.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</row>
    <row r="214" spans="1:28" x14ac:dyDescent="0.3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</row>
    <row r="215" spans="1:28" x14ac:dyDescent="0.3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</row>
    <row r="216" spans="1:28" x14ac:dyDescent="0.3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</row>
    <row r="217" spans="1:28" x14ac:dyDescent="0.3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</row>
    <row r="218" spans="1:28" x14ac:dyDescent="0.3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</row>
    <row r="219" spans="1:28" x14ac:dyDescent="0.3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</row>
    <row r="220" spans="1:28" x14ac:dyDescent="0.3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</row>
    <row r="221" spans="1:28" x14ac:dyDescent="0.3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</row>
    <row r="222" spans="1:28" x14ac:dyDescent="0.3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</row>
    <row r="223" spans="1:28" x14ac:dyDescent="0.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</row>
    <row r="224" spans="1:28" x14ac:dyDescent="0.3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</row>
    <row r="225" spans="1:28" x14ac:dyDescent="0.3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</row>
    <row r="226" spans="1:28" x14ac:dyDescent="0.3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</row>
    <row r="227" spans="1:28" x14ac:dyDescent="0.3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</row>
    <row r="228" spans="1:28" x14ac:dyDescent="0.3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</row>
    <row r="229" spans="1:28" x14ac:dyDescent="0.3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</row>
    <row r="230" spans="1:28" x14ac:dyDescent="0.3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</row>
    <row r="231" spans="1:28" x14ac:dyDescent="0.3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</row>
    <row r="232" spans="1:28" x14ac:dyDescent="0.3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</row>
    <row r="233" spans="1:28" x14ac:dyDescent="0.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</row>
    <row r="234" spans="1:28" x14ac:dyDescent="0.3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</row>
    <row r="235" spans="1:28" x14ac:dyDescent="0.3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</row>
    <row r="236" spans="1:28" x14ac:dyDescent="0.3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</row>
    <row r="237" spans="1:28" x14ac:dyDescent="0.3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</row>
    <row r="238" spans="1:28" x14ac:dyDescent="0.3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</row>
    <row r="239" spans="1:28" x14ac:dyDescent="0.3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</row>
    <row r="240" spans="1:28" x14ac:dyDescent="0.3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</row>
    <row r="241" spans="1:28" x14ac:dyDescent="0.3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</row>
    <row r="242" spans="1:28" x14ac:dyDescent="0.3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</row>
    <row r="243" spans="1:28" x14ac:dyDescent="0.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</row>
    <row r="244" spans="1:28" x14ac:dyDescent="0.3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</row>
    <row r="245" spans="1:28" x14ac:dyDescent="0.3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</row>
    <row r="246" spans="1:28" x14ac:dyDescent="0.3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</row>
    <row r="247" spans="1:28" x14ac:dyDescent="0.3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</row>
    <row r="248" spans="1:28" x14ac:dyDescent="0.3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</row>
    <row r="249" spans="1:28" x14ac:dyDescent="0.3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</row>
    <row r="250" spans="1:28" x14ac:dyDescent="0.3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</row>
    <row r="251" spans="1:28" x14ac:dyDescent="0.3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</row>
    <row r="252" spans="1:28" x14ac:dyDescent="0.3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</row>
    <row r="253" spans="1:28" x14ac:dyDescent="0.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</row>
    <row r="254" spans="1:28" x14ac:dyDescent="0.3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</row>
    <row r="255" spans="1:28" x14ac:dyDescent="0.3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</row>
    <row r="256" spans="1:28" x14ac:dyDescent="0.3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</row>
    <row r="257" spans="1:28" x14ac:dyDescent="0.3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</row>
    <row r="258" spans="1:28" x14ac:dyDescent="0.3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</row>
    <row r="259" spans="1:28" x14ac:dyDescent="0.3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</row>
    <row r="260" spans="1:28" x14ac:dyDescent="0.3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</row>
    <row r="261" spans="1:28" x14ac:dyDescent="0.3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</row>
    <row r="262" spans="1:28" x14ac:dyDescent="0.3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</row>
    <row r="263" spans="1:28" x14ac:dyDescent="0.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</row>
    <row r="264" spans="1:28" x14ac:dyDescent="0.3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</row>
    <row r="265" spans="1:28" x14ac:dyDescent="0.3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</row>
    <row r="266" spans="1:28" x14ac:dyDescent="0.3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</row>
    <row r="267" spans="1:28" x14ac:dyDescent="0.3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</row>
    <row r="268" spans="1:28" x14ac:dyDescent="0.3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</row>
    <row r="269" spans="1:28" x14ac:dyDescent="0.3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</row>
    <row r="270" spans="1:28" x14ac:dyDescent="0.3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</row>
    <row r="271" spans="1:28" x14ac:dyDescent="0.3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</row>
    <row r="272" spans="1:28" x14ac:dyDescent="0.3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</row>
    <row r="273" spans="1:28" x14ac:dyDescent="0.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</row>
    <row r="274" spans="1:28" x14ac:dyDescent="0.3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</row>
    <row r="275" spans="1:28" x14ac:dyDescent="0.3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</row>
    <row r="276" spans="1:28" x14ac:dyDescent="0.3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</row>
    <row r="277" spans="1:28" x14ac:dyDescent="0.3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</row>
    <row r="278" spans="1:28" x14ac:dyDescent="0.3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</row>
    <row r="279" spans="1:28" x14ac:dyDescent="0.3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</row>
    <row r="280" spans="1:28" x14ac:dyDescent="0.3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</row>
    <row r="281" spans="1:28" x14ac:dyDescent="0.3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</row>
    <row r="282" spans="1:28" x14ac:dyDescent="0.3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</row>
    <row r="283" spans="1:28" x14ac:dyDescent="0.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</row>
    <row r="284" spans="1:28" x14ac:dyDescent="0.3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</row>
    <row r="285" spans="1:28" x14ac:dyDescent="0.3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</row>
    <row r="286" spans="1:28" x14ac:dyDescent="0.3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</row>
    <row r="287" spans="1:28" x14ac:dyDescent="0.3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</row>
    <row r="288" spans="1:28" x14ac:dyDescent="0.3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</row>
    <row r="289" spans="1:28" x14ac:dyDescent="0.3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</row>
    <row r="290" spans="1:28" x14ac:dyDescent="0.3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</row>
    <row r="291" spans="1:28" x14ac:dyDescent="0.3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</row>
    <row r="292" spans="1:28" x14ac:dyDescent="0.3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</row>
    <row r="293" spans="1:28" x14ac:dyDescent="0.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</row>
    <row r="294" spans="1:28" x14ac:dyDescent="0.3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</row>
    <row r="295" spans="1:28" x14ac:dyDescent="0.3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</row>
    <row r="296" spans="1:28" x14ac:dyDescent="0.3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</row>
    <row r="297" spans="1:28" x14ac:dyDescent="0.3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</row>
    <row r="298" spans="1:28" x14ac:dyDescent="0.3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</row>
    <row r="299" spans="1:28" x14ac:dyDescent="0.3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</row>
    <row r="300" spans="1:28" x14ac:dyDescent="0.3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</row>
    <row r="301" spans="1:28" x14ac:dyDescent="0.3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</row>
    <row r="302" spans="1:28" x14ac:dyDescent="0.3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</row>
    <row r="303" spans="1:28" x14ac:dyDescent="0.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</row>
    <row r="304" spans="1:28" x14ac:dyDescent="0.3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</row>
    <row r="305" spans="1:28" x14ac:dyDescent="0.3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</row>
    <row r="306" spans="1:28" x14ac:dyDescent="0.3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</row>
    <row r="307" spans="1:28" x14ac:dyDescent="0.3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</row>
    <row r="308" spans="1:28" x14ac:dyDescent="0.3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</row>
    <row r="309" spans="1:28" x14ac:dyDescent="0.3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</row>
    <row r="310" spans="1:28" x14ac:dyDescent="0.3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</row>
    <row r="311" spans="1:28" x14ac:dyDescent="0.3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</row>
    <row r="312" spans="1:28" x14ac:dyDescent="0.3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</row>
    <row r="313" spans="1:28" x14ac:dyDescent="0.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</row>
    <row r="314" spans="1:28" x14ac:dyDescent="0.3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</row>
    <row r="315" spans="1:28" x14ac:dyDescent="0.3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</row>
    <row r="316" spans="1:28" x14ac:dyDescent="0.3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</row>
    <row r="317" spans="1:28" x14ac:dyDescent="0.3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</row>
    <row r="318" spans="1:28" x14ac:dyDescent="0.3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</row>
    <row r="319" spans="1:28" x14ac:dyDescent="0.3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</row>
    <row r="320" spans="1:28" x14ac:dyDescent="0.3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</row>
    <row r="321" spans="1:28" x14ac:dyDescent="0.3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</row>
    <row r="322" spans="1:28" x14ac:dyDescent="0.3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</row>
    <row r="323" spans="1:28" x14ac:dyDescent="0.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</row>
    <row r="324" spans="1:28" x14ac:dyDescent="0.3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</row>
    <row r="325" spans="1:28" x14ac:dyDescent="0.3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</row>
    <row r="326" spans="1:28" x14ac:dyDescent="0.3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</row>
    <row r="327" spans="1:28" x14ac:dyDescent="0.3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</row>
    <row r="328" spans="1:28" x14ac:dyDescent="0.3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</row>
    <row r="329" spans="1:28" x14ac:dyDescent="0.3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</row>
    <row r="330" spans="1:28" x14ac:dyDescent="0.3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</row>
    <row r="331" spans="1:28" x14ac:dyDescent="0.3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</row>
    <row r="332" spans="1:28" x14ac:dyDescent="0.3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</row>
    <row r="333" spans="1:28" x14ac:dyDescent="0.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</row>
    <row r="334" spans="1:28" x14ac:dyDescent="0.3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</row>
    <row r="335" spans="1:28" x14ac:dyDescent="0.3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</row>
    <row r="336" spans="1:28" x14ac:dyDescent="0.3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</row>
    <row r="337" spans="1:28" x14ac:dyDescent="0.3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</row>
    <row r="338" spans="1:28" x14ac:dyDescent="0.3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</row>
    <row r="339" spans="1:28" x14ac:dyDescent="0.3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</row>
    <row r="340" spans="1:28" x14ac:dyDescent="0.3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</row>
    <row r="341" spans="1:28" x14ac:dyDescent="0.3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</row>
    <row r="342" spans="1:28" x14ac:dyDescent="0.3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</row>
    <row r="343" spans="1:28" x14ac:dyDescent="0.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</row>
    <row r="344" spans="1:28" x14ac:dyDescent="0.3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</row>
    <row r="345" spans="1:28" x14ac:dyDescent="0.3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</row>
    <row r="346" spans="1:28" x14ac:dyDescent="0.3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</row>
    <row r="347" spans="1:28" x14ac:dyDescent="0.3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</row>
    <row r="348" spans="1:28" x14ac:dyDescent="0.3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</row>
    <row r="349" spans="1:28" x14ac:dyDescent="0.3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</row>
    <row r="350" spans="1:28" x14ac:dyDescent="0.3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</row>
    <row r="351" spans="1:28" x14ac:dyDescent="0.3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</row>
    <row r="352" spans="1:28" x14ac:dyDescent="0.3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</row>
    <row r="353" spans="1:28" x14ac:dyDescent="0.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</row>
    <row r="354" spans="1:28" x14ac:dyDescent="0.3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</row>
    <row r="355" spans="1:28" x14ac:dyDescent="0.3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</row>
    <row r="356" spans="1:28" x14ac:dyDescent="0.3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</row>
    <row r="357" spans="1:28" x14ac:dyDescent="0.3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</row>
    <row r="358" spans="1:28" x14ac:dyDescent="0.3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</row>
    <row r="359" spans="1:28" x14ac:dyDescent="0.3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</row>
    <row r="360" spans="1:28" x14ac:dyDescent="0.3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</row>
    <row r="361" spans="1:28" x14ac:dyDescent="0.3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</row>
    <row r="362" spans="1:28" x14ac:dyDescent="0.3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</row>
    <row r="363" spans="1:28" x14ac:dyDescent="0.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</row>
    <row r="364" spans="1:28" x14ac:dyDescent="0.3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</row>
    <row r="365" spans="1:28" x14ac:dyDescent="0.3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</row>
    <row r="366" spans="1:28" x14ac:dyDescent="0.3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</row>
    <row r="367" spans="1:28" x14ac:dyDescent="0.3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</row>
    <row r="368" spans="1:28" x14ac:dyDescent="0.3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</row>
    <row r="369" spans="1:28" x14ac:dyDescent="0.3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</row>
    <row r="370" spans="1:28" x14ac:dyDescent="0.3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</row>
    <row r="371" spans="1:28" x14ac:dyDescent="0.3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</row>
    <row r="372" spans="1:28" x14ac:dyDescent="0.3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</row>
    <row r="373" spans="1:28" x14ac:dyDescent="0.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</row>
    <row r="374" spans="1:28" x14ac:dyDescent="0.3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</row>
    <row r="375" spans="1:28" x14ac:dyDescent="0.3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</row>
    <row r="376" spans="1:28" x14ac:dyDescent="0.3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</row>
    <row r="377" spans="1:28" x14ac:dyDescent="0.3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</row>
    <row r="378" spans="1:28" x14ac:dyDescent="0.3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</row>
    <row r="379" spans="1:28" x14ac:dyDescent="0.3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</row>
    <row r="380" spans="1:28" x14ac:dyDescent="0.3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</row>
    <row r="381" spans="1:28" x14ac:dyDescent="0.3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</row>
    <row r="382" spans="1:28" x14ac:dyDescent="0.3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</row>
    <row r="383" spans="1:28" x14ac:dyDescent="0.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</row>
    <row r="384" spans="1:28" x14ac:dyDescent="0.3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</row>
    <row r="385" spans="1:28" x14ac:dyDescent="0.3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</row>
    <row r="386" spans="1:28" x14ac:dyDescent="0.3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</row>
    <row r="387" spans="1:28" x14ac:dyDescent="0.3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</row>
    <row r="388" spans="1:28" x14ac:dyDescent="0.3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</row>
    <row r="389" spans="1:28" x14ac:dyDescent="0.3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</row>
    <row r="390" spans="1:28" x14ac:dyDescent="0.3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</row>
    <row r="391" spans="1:28" x14ac:dyDescent="0.3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</row>
    <row r="392" spans="1:28" x14ac:dyDescent="0.3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</row>
    <row r="393" spans="1:28" x14ac:dyDescent="0.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</row>
    <row r="394" spans="1:28" x14ac:dyDescent="0.3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</row>
    <row r="395" spans="1:28" x14ac:dyDescent="0.3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</row>
    <row r="396" spans="1:28" x14ac:dyDescent="0.3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</row>
    <row r="397" spans="1:28" x14ac:dyDescent="0.3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</row>
    <row r="398" spans="1:28" x14ac:dyDescent="0.3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</row>
    <row r="399" spans="1:28" x14ac:dyDescent="0.3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</row>
    <row r="400" spans="1:28" x14ac:dyDescent="0.3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</row>
    <row r="401" spans="1:28" x14ac:dyDescent="0.3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</row>
    <row r="402" spans="1:28" x14ac:dyDescent="0.3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</row>
    <row r="403" spans="1:28" x14ac:dyDescent="0.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</row>
    <row r="404" spans="1:28" x14ac:dyDescent="0.3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</row>
    <row r="405" spans="1:28" x14ac:dyDescent="0.3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</row>
    <row r="406" spans="1:28" x14ac:dyDescent="0.3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</row>
    <row r="407" spans="1:28" x14ac:dyDescent="0.3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</row>
    <row r="408" spans="1:28" x14ac:dyDescent="0.3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</row>
    <row r="409" spans="1:28" x14ac:dyDescent="0.3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</row>
    <row r="410" spans="1:28" x14ac:dyDescent="0.3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</row>
    <row r="411" spans="1:28" x14ac:dyDescent="0.3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</row>
    <row r="412" spans="1:28" x14ac:dyDescent="0.3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</row>
    <row r="413" spans="1:28" x14ac:dyDescent="0.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</row>
    <row r="414" spans="1:28" x14ac:dyDescent="0.3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</row>
    <row r="415" spans="1:28" x14ac:dyDescent="0.3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</row>
    <row r="416" spans="1:28" x14ac:dyDescent="0.3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</row>
    <row r="417" spans="1:28" x14ac:dyDescent="0.3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</row>
    <row r="418" spans="1:28" x14ac:dyDescent="0.3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</row>
    <row r="419" spans="1:28" x14ac:dyDescent="0.3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</row>
    <row r="420" spans="1:28" x14ac:dyDescent="0.3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</row>
    <row r="421" spans="1:28" x14ac:dyDescent="0.3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</row>
    <row r="422" spans="1:28" x14ac:dyDescent="0.3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</row>
    <row r="423" spans="1:28" x14ac:dyDescent="0.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</row>
    <row r="424" spans="1:28" x14ac:dyDescent="0.3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</row>
    <row r="425" spans="1:28" x14ac:dyDescent="0.3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</row>
    <row r="426" spans="1:28" x14ac:dyDescent="0.3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</row>
    <row r="427" spans="1:28" x14ac:dyDescent="0.3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</row>
    <row r="428" spans="1:28" x14ac:dyDescent="0.3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</row>
    <row r="429" spans="1:28" x14ac:dyDescent="0.3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</row>
    <row r="430" spans="1:28" x14ac:dyDescent="0.3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</row>
    <row r="431" spans="1:28" x14ac:dyDescent="0.3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</row>
    <row r="432" spans="1:28" x14ac:dyDescent="0.3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</row>
    <row r="433" spans="1:28" x14ac:dyDescent="0.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</row>
    <row r="434" spans="1:28" x14ac:dyDescent="0.3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</row>
    <row r="435" spans="1:28" x14ac:dyDescent="0.3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</row>
    <row r="436" spans="1:28" x14ac:dyDescent="0.3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</row>
    <row r="437" spans="1:28" x14ac:dyDescent="0.3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</row>
    <row r="438" spans="1:28" x14ac:dyDescent="0.3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</row>
    <row r="439" spans="1:28" x14ac:dyDescent="0.3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</row>
    <row r="440" spans="1:28" x14ac:dyDescent="0.3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</row>
    <row r="441" spans="1:28" x14ac:dyDescent="0.3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</row>
    <row r="442" spans="1:28" x14ac:dyDescent="0.3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</row>
    <row r="443" spans="1:28" x14ac:dyDescent="0.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</row>
    <row r="444" spans="1:28" x14ac:dyDescent="0.3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</row>
    <row r="445" spans="1:28" x14ac:dyDescent="0.3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</row>
    <row r="446" spans="1:28" x14ac:dyDescent="0.3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</row>
    <row r="447" spans="1:28" x14ac:dyDescent="0.3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</row>
    <row r="448" spans="1:28" x14ac:dyDescent="0.3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</row>
    <row r="449" spans="1:28" x14ac:dyDescent="0.3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</row>
    <row r="450" spans="1:28" x14ac:dyDescent="0.3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</row>
    <row r="451" spans="1:28" x14ac:dyDescent="0.3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</row>
    <row r="452" spans="1:28" x14ac:dyDescent="0.3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</row>
    <row r="453" spans="1:28" x14ac:dyDescent="0.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</row>
    <row r="454" spans="1:28" x14ac:dyDescent="0.3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</row>
    <row r="455" spans="1:28" x14ac:dyDescent="0.3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</row>
    <row r="456" spans="1:28" x14ac:dyDescent="0.3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</row>
    <row r="457" spans="1:28" x14ac:dyDescent="0.3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</row>
    <row r="458" spans="1:28" x14ac:dyDescent="0.3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</row>
    <row r="459" spans="1:28" x14ac:dyDescent="0.3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</row>
    <row r="460" spans="1:28" x14ac:dyDescent="0.3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</row>
    <row r="461" spans="1:28" x14ac:dyDescent="0.3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</row>
    <row r="462" spans="1:28" x14ac:dyDescent="0.3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</row>
    <row r="463" spans="1:28" x14ac:dyDescent="0.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</row>
    <row r="464" spans="1:28" x14ac:dyDescent="0.3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</row>
    <row r="465" spans="1:28" x14ac:dyDescent="0.3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</row>
    <row r="466" spans="1:28" x14ac:dyDescent="0.3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</row>
    <row r="467" spans="1:28" x14ac:dyDescent="0.3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</row>
    <row r="468" spans="1:28" x14ac:dyDescent="0.3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</row>
    <row r="469" spans="1:28" x14ac:dyDescent="0.3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</row>
    <row r="470" spans="1:28" x14ac:dyDescent="0.3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</row>
    <row r="471" spans="1:28" x14ac:dyDescent="0.3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</row>
    <row r="472" spans="1:28" x14ac:dyDescent="0.3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</row>
    <row r="473" spans="1:28" x14ac:dyDescent="0.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</row>
    <row r="474" spans="1:28" x14ac:dyDescent="0.3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</row>
    <row r="475" spans="1:28" x14ac:dyDescent="0.3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</row>
    <row r="476" spans="1:28" x14ac:dyDescent="0.3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</row>
    <row r="477" spans="1:28" x14ac:dyDescent="0.3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</row>
    <row r="478" spans="1:28" x14ac:dyDescent="0.3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</row>
    <row r="479" spans="1:28" x14ac:dyDescent="0.3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</row>
    <row r="480" spans="1:28" x14ac:dyDescent="0.3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</row>
    <row r="481" spans="1:28" x14ac:dyDescent="0.3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</row>
    <row r="482" spans="1:28" x14ac:dyDescent="0.3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</row>
    <row r="483" spans="1:28" x14ac:dyDescent="0.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</row>
    <row r="484" spans="1:28" x14ac:dyDescent="0.3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</row>
    <row r="485" spans="1:28" x14ac:dyDescent="0.3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</row>
    <row r="486" spans="1:28" x14ac:dyDescent="0.3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</row>
    <row r="487" spans="1:28" x14ac:dyDescent="0.3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</row>
    <row r="488" spans="1:28" x14ac:dyDescent="0.3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</row>
    <row r="489" spans="1:28" x14ac:dyDescent="0.3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</row>
    <row r="490" spans="1:28" x14ac:dyDescent="0.3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</row>
    <row r="491" spans="1:28" x14ac:dyDescent="0.3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</row>
    <row r="492" spans="1:28" x14ac:dyDescent="0.3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</row>
    <row r="493" spans="1:28" x14ac:dyDescent="0.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</row>
    <row r="494" spans="1:28" x14ac:dyDescent="0.3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</row>
    <row r="495" spans="1:28" x14ac:dyDescent="0.3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</row>
    <row r="496" spans="1:28" x14ac:dyDescent="0.3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</row>
    <row r="497" spans="1:28" x14ac:dyDescent="0.3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</row>
    <row r="498" spans="1:28" x14ac:dyDescent="0.3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</row>
    <row r="499" spans="1:28" x14ac:dyDescent="0.3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</row>
    <row r="500" spans="1:28" x14ac:dyDescent="0.3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</row>
    <row r="501" spans="1:28" x14ac:dyDescent="0.3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</row>
    <row r="502" spans="1:28" x14ac:dyDescent="0.3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</row>
    <row r="503" spans="1:28" x14ac:dyDescent="0.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</row>
    <row r="504" spans="1:28" x14ac:dyDescent="0.3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</row>
    <row r="505" spans="1:28" x14ac:dyDescent="0.3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</row>
    <row r="506" spans="1:28" x14ac:dyDescent="0.3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</row>
    <row r="507" spans="1:28" x14ac:dyDescent="0.3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</row>
    <row r="508" spans="1:28" x14ac:dyDescent="0.3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</row>
    <row r="509" spans="1:28" x14ac:dyDescent="0.3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</row>
    <row r="510" spans="1:28" x14ac:dyDescent="0.3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</row>
    <row r="511" spans="1:28" x14ac:dyDescent="0.3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</row>
    <row r="512" spans="1:28" x14ac:dyDescent="0.3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</row>
    <row r="513" spans="1:28" x14ac:dyDescent="0.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</row>
    <row r="514" spans="1:28" x14ac:dyDescent="0.3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</row>
    <row r="515" spans="1:28" x14ac:dyDescent="0.3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</row>
    <row r="516" spans="1:28" x14ac:dyDescent="0.3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</row>
    <row r="517" spans="1:28" x14ac:dyDescent="0.3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</row>
    <row r="518" spans="1:28" x14ac:dyDescent="0.3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</row>
    <row r="519" spans="1:28" x14ac:dyDescent="0.3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</row>
    <row r="520" spans="1:28" x14ac:dyDescent="0.3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</row>
    <row r="521" spans="1:28" x14ac:dyDescent="0.3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</row>
    <row r="522" spans="1:28" x14ac:dyDescent="0.3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</row>
    <row r="523" spans="1:28" x14ac:dyDescent="0.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</row>
    <row r="524" spans="1:28" x14ac:dyDescent="0.3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</row>
    <row r="525" spans="1:28" x14ac:dyDescent="0.3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</row>
    <row r="526" spans="1:28" x14ac:dyDescent="0.3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</row>
    <row r="527" spans="1:28" x14ac:dyDescent="0.3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</row>
    <row r="528" spans="1:28" x14ac:dyDescent="0.3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</row>
    <row r="529" spans="1:28" x14ac:dyDescent="0.3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</row>
    <row r="530" spans="1:28" x14ac:dyDescent="0.3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</row>
    <row r="531" spans="1:28" x14ac:dyDescent="0.3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</row>
    <row r="532" spans="1:28" x14ac:dyDescent="0.3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</row>
    <row r="533" spans="1:28" x14ac:dyDescent="0.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</row>
    <row r="534" spans="1:28" x14ac:dyDescent="0.3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</row>
    <row r="535" spans="1:28" x14ac:dyDescent="0.3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</row>
    <row r="536" spans="1:28" x14ac:dyDescent="0.3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</row>
    <row r="537" spans="1:28" x14ac:dyDescent="0.3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</row>
    <row r="538" spans="1:28" x14ac:dyDescent="0.3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</row>
    <row r="539" spans="1:28" x14ac:dyDescent="0.3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</row>
    <row r="540" spans="1:28" x14ac:dyDescent="0.3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</row>
    <row r="541" spans="1:28" x14ac:dyDescent="0.3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</row>
    <row r="542" spans="1:28" x14ac:dyDescent="0.3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</row>
    <row r="543" spans="1:28" x14ac:dyDescent="0.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</row>
    <row r="544" spans="1:28" x14ac:dyDescent="0.3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</row>
    <row r="545" spans="1:28" x14ac:dyDescent="0.3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</row>
    <row r="546" spans="1:28" x14ac:dyDescent="0.3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</row>
    <row r="547" spans="1:28" x14ac:dyDescent="0.3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</row>
    <row r="548" spans="1:28" x14ac:dyDescent="0.3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</row>
    <row r="549" spans="1:28" x14ac:dyDescent="0.3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</row>
    <row r="550" spans="1:28" x14ac:dyDescent="0.3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</row>
    <row r="551" spans="1:28" x14ac:dyDescent="0.3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</row>
    <row r="552" spans="1:28" x14ac:dyDescent="0.3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</row>
    <row r="553" spans="1:28" x14ac:dyDescent="0.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</row>
    <row r="554" spans="1:28" x14ac:dyDescent="0.3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</row>
    <row r="555" spans="1:28" x14ac:dyDescent="0.3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</row>
    <row r="556" spans="1:28" x14ac:dyDescent="0.3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</row>
    <row r="557" spans="1:28" x14ac:dyDescent="0.3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</row>
    <row r="558" spans="1:28" x14ac:dyDescent="0.3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</row>
    <row r="559" spans="1:28" x14ac:dyDescent="0.3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</row>
    <row r="560" spans="1:28" x14ac:dyDescent="0.3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</row>
    <row r="561" spans="1:28" x14ac:dyDescent="0.3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</row>
    <row r="562" spans="1:28" x14ac:dyDescent="0.3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</row>
    <row r="563" spans="1:28" x14ac:dyDescent="0.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</row>
    <row r="564" spans="1:28" x14ac:dyDescent="0.3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</row>
    <row r="565" spans="1:28" x14ac:dyDescent="0.3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</row>
    <row r="566" spans="1:28" x14ac:dyDescent="0.3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</row>
    <row r="567" spans="1:28" x14ac:dyDescent="0.3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</row>
    <row r="568" spans="1:28" x14ac:dyDescent="0.3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</row>
    <row r="569" spans="1:28" x14ac:dyDescent="0.3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</row>
    <row r="570" spans="1:28" x14ac:dyDescent="0.3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</row>
    <row r="571" spans="1:28" x14ac:dyDescent="0.3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</row>
    <row r="572" spans="1:28" x14ac:dyDescent="0.3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</row>
    <row r="573" spans="1:28" x14ac:dyDescent="0.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</row>
    <row r="574" spans="1:28" x14ac:dyDescent="0.3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</row>
    <row r="575" spans="1:28" x14ac:dyDescent="0.3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</row>
    <row r="576" spans="1:28" x14ac:dyDescent="0.3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</row>
    <row r="577" spans="1:28" x14ac:dyDescent="0.3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</row>
    <row r="578" spans="1:28" x14ac:dyDescent="0.3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</row>
    <row r="579" spans="1:28" x14ac:dyDescent="0.3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</row>
    <row r="580" spans="1:28" x14ac:dyDescent="0.3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</row>
    <row r="581" spans="1:28" x14ac:dyDescent="0.3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</row>
    <row r="582" spans="1:28" x14ac:dyDescent="0.3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</row>
    <row r="583" spans="1:28" x14ac:dyDescent="0.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</row>
    <row r="584" spans="1:28" x14ac:dyDescent="0.3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</row>
    <row r="585" spans="1:28" x14ac:dyDescent="0.3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</row>
    <row r="586" spans="1:28" x14ac:dyDescent="0.3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</row>
    <row r="587" spans="1:28" x14ac:dyDescent="0.3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</row>
    <row r="588" spans="1:28" x14ac:dyDescent="0.3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</row>
    <row r="589" spans="1:28" x14ac:dyDescent="0.3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</row>
    <row r="590" spans="1:28" x14ac:dyDescent="0.3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</row>
    <row r="591" spans="1:28" x14ac:dyDescent="0.3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</row>
    <row r="592" spans="1:28" x14ac:dyDescent="0.3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</row>
    <row r="593" spans="1:28" x14ac:dyDescent="0.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</row>
    <row r="594" spans="1:28" x14ac:dyDescent="0.3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</row>
    <row r="595" spans="1:28" x14ac:dyDescent="0.3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</row>
    <row r="596" spans="1:28" x14ac:dyDescent="0.3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</row>
    <row r="597" spans="1:28" x14ac:dyDescent="0.3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</row>
    <row r="598" spans="1:28" x14ac:dyDescent="0.3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</row>
    <row r="599" spans="1:28" x14ac:dyDescent="0.3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</row>
    <row r="600" spans="1:28" x14ac:dyDescent="0.3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</row>
    <row r="601" spans="1:28" x14ac:dyDescent="0.3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</row>
    <row r="602" spans="1:28" x14ac:dyDescent="0.3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</row>
    <row r="603" spans="1:28" x14ac:dyDescent="0.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</row>
    <row r="604" spans="1:28" x14ac:dyDescent="0.3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</row>
    <row r="605" spans="1:28" x14ac:dyDescent="0.3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</row>
    <row r="606" spans="1:28" x14ac:dyDescent="0.3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</row>
    <row r="607" spans="1:28" x14ac:dyDescent="0.3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</row>
    <row r="608" spans="1:28" x14ac:dyDescent="0.3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</row>
    <row r="609" spans="1:28" x14ac:dyDescent="0.3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</row>
    <row r="610" spans="1:28" x14ac:dyDescent="0.3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</row>
    <row r="611" spans="1:28" x14ac:dyDescent="0.3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</row>
    <row r="612" spans="1:28" x14ac:dyDescent="0.3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</row>
    <row r="613" spans="1:28" x14ac:dyDescent="0.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</row>
    <row r="614" spans="1:28" x14ac:dyDescent="0.3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</row>
    <row r="615" spans="1:28" x14ac:dyDescent="0.3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</row>
    <row r="616" spans="1:28" x14ac:dyDescent="0.3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</row>
    <row r="617" spans="1:28" x14ac:dyDescent="0.3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</row>
    <row r="618" spans="1:28" x14ac:dyDescent="0.3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</row>
    <row r="619" spans="1:28" x14ac:dyDescent="0.3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</row>
    <row r="620" spans="1:28" x14ac:dyDescent="0.3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</row>
    <row r="621" spans="1:28" x14ac:dyDescent="0.3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</row>
    <row r="622" spans="1:28" x14ac:dyDescent="0.3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</row>
    <row r="623" spans="1:28" x14ac:dyDescent="0.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</row>
    <row r="624" spans="1:28" x14ac:dyDescent="0.3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</row>
    <row r="625" spans="1:28" x14ac:dyDescent="0.3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</row>
    <row r="626" spans="1:28" x14ac:dyDescent="0.3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</row>
    <row r="627" spans="1:28" x14ac:dyDescent="0.3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</row>
    <row r="628" spans="1:28" x14ac:dyDescent="0.3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</row>
    <row r="629" spans="1:28" x14ac:dyDescent="0.3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</row>
    <row r="630" spans="1:28" x14ac:dyDescent="0.3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</row>
    <row r="631" spans="1:28" x14ac:dyDescent="0.3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</row>
    <row r="632" spans="1:28" x14ac:dyDescent="0.3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</row>
    <row r="633" spans="1:28" x14ac:dyDescent="0.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</row>
    <row r="634" spans="1:28" x14ac:dyDescent="0.3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</row>
    <row r="635" spans="1:28" x14ac:dyDescent="0.3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</row>
    <row r="636" spans="1:28" x14ac:dyDescent="0.3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</row>
    <row r="637" spans="1:28" x14ac:dyDescent="0.3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</row>
    <row r="638" spans="1:28" x14ac:dyDescent="0.3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</row>
    <row r="639" spans="1:28" x14ac:dyDescent="0.3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</row>
    <row r="640" spans="1:28" x14ac:dyDescent="0.3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</row>
    <row r="641" spans="1:28" x14ac:dyDescent="0.3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</row>
    <row r="642" spans="1:28" x14ac:dyDescent="0.3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</row>
    <row r="643" spans="1:28" x14ac:dyDescent="0.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</row>
    <row r="644" spans="1:28" x14ac:dyDescent="0.3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</row>
    <row r="645" spans="1:28" x14ac:dyDescent="0.3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</row>
    <row r="646" spans="1:28" x14ac:dyDescent="0.3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</row>
    <row r="647" spans="1:28" x14ac:dyDescent="0.3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</row>
    <row r="648" spans="1:28" x14ac:dyDescent="0.3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</row>
    <row r="649" spans="1:28" x14ac:dyDescent="0.3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</row>
    <row r="650" spans="1:28" x14ac:dyDescent="0.3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</row>
    <row r="651" spans="1:28" x14ac:dyDescent="0.3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</row>
    <row r="652" spans="1:28" x14ac:dyDescent="0.3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</row>
    <row r="653" spans="1:28" x14ac:dyDescent="0.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</row>
    <row r="654" spans="1:28" x14ac:dyDescent="0.3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</row>
    <row r="655" spans="1:28" x14ac:dyDescent="0.3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</row>
    <row r="656" spans="1:28" x14ac:dyDescent="0.3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</row>
    <row r="657" spans="1:28" x14ac:dyDescent="0.3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</row>
    <row r="658" spans="1:28" x14ac:dyDescent="0.3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</row>
    <row r="659" spans="1:28" x14ac:dyDescent="0.3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</row>
    <row r="660" spans="1:28" x14ac:dyDescent="0.3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</row>
    <row r="661" spans="1:28" x14ac:dyDescent="0.3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</row>
    <row r="662" spans="1:28" x14ac:dyDescent="0.3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</row>
    <row r="663" spans="1:28" x14ac:dyDescent="0.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</row>
    <row r="664" spans="1:28" x14ac:dyDescent="0.3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</row>
    <row r="665" spans="1:28" x14ac:dyDescent="0.3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</row>
    <row r="666" spans="1:28" x14ac:dyDescent="0.3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</row>
    <row r="667" spans="1:28" x14ac:dyDescent="0.3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</row>
    <row r="668" spans="1:28" x14ac:dyDescent="0.3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</row>
    <row r="669" spans="1:28" x14ac:dyDescent="0.3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</row>
    <row r="670" spans="1:28" x14ac:dyDescent="0.3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</row>
    <row r="671" spans="1:28" x14ac:dyDescent="0.3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</row>
    <row r="672" spans="1:28" x14ac:dyDescent="0.3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</row>
    <row r="673" spans="1:28" x14ac:dyDescent="0.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</row>
    <row r="674" spans="1:28" x14ac:dyDescent="0.3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</row>
    <row r="675" spans="1:28" x14ac:dyDescent="0.3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</row>
    <row r="676" spans="1:28" x14ac:dyDescent="0.3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</row>
    <row r="677" spans="1:28" x14ac:dyDescent="0.3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</row>
    <row r="678" spans="1:28" x14ac:dyDescent="0.3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</row>
    <row r="679" spans="1:28" x14ac:dyDescent="0.3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</row>
    <row r="680" spans="1:28" x14ac:dyDescent="0.3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</row>
    <row r="681" spans="1:28" x14ac:dyDescent="0.3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</row>
    <row r="682" spans="1:28" x14ac:dyDescent="0.3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</row>
    <row r="683" spans="1:28" x14ac:dyDescent="0.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</row>
    <row r="684" spans="1:28" x14ac:dyDescent="0.3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</row>
    <row r="685" spans="1:28" x14ac:dyDescent="0.3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</row>
    <row r="686" spans="1:28" x14ac:dyDescent="0.3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</row>
    <row r="687" spans="1:28" x14ac:dyDescent="0.3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</row>
    <row r="688" spans="1:28" x14ac:dyDescent="0.3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</row>
    <row r="689" spans="1:28" x14ac:dyDescent="0.3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</row>
    <row r="690" spans="1:28" x14ac:dyDescent="0.3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</row>
    <row r="691" spans="1:28" x14ac:dyDescent="0.3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</row>
    <row r="692" spans="1:28" x14ac:dyDescent="0.3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</row>
    <row r="693" spans="1:28" x14ac:dyDescent="0.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</row>
    <row r="694" spans="1:28" x14ac:dyDescent="0.3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</row>
    <row r="695" spans="1:28" x14ac:dyDescent="0.3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</row>
    <row r="696" spans="1:28" x14ac:dyDescent="0.3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</row>
    <row r="697" spans="1:28" x14ac:dyDescent="0.3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</row>
    <row r="698" spans="1:28" x14ac:dyDescent="0.3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</row>
    <row r="699" spans="1:28" x14ac:dyDescent="0.3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</row>
    <row r="700" spans="1:28" x14ac:dyDescent="0.3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</row>
    <row r="701" spans="1:28" x14ac:dyDescent="0.3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</row>
    <row r="702" spans="1:28" x14ac:dyDescent="0.3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</row>
    <row r="703" spans="1:28" x14ac:dyDescent="0.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</row>
    <row r="704" spans="1:28" x14ac:dyDescent="0.3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</row>
    <row r="705" spans="1:28" x14ac:dyDescent="0.3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</row>
    <row r="706" spans="1:28" x14ac:dyDescent="0.3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</row>
    <row r="707" spans="1:28" x14ac:dyDescent="0.3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</row>
    <row r="708" spans="1:28" x14ac:dyDescent="0.3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</row>
    <row r="709" spans="1:28" x14ac:dyDescent="0.3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</row>
    <row r="710" spans="1:28" x14ac:dyDescent="0.3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</row>
    <row r="711" spans="1:28" x14ac:dyDescent="0.3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</row>
    <row r="712" spans="1:28" x14ac:dyDescent="0.3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</row>
    <row r="713" spans="1:28" x14ac:dyDescent="0.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</row>
    <row r="714" spans="1:28" x14ac:dyDescent="0.3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</row>
    <row r="715" spans="1:28" x14ac:dyDescent="0.3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</row>
    <row r="716" spans="1:28" x14ac:dyDescent="0.3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</row>
    <row r="717" spans="1:28" x14ac:dyDescent="0.3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</row>
    <row r="718" spans="1:28" x14ac:dyDescent="0.3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</row>
    <row r="719" spans="1:28" x14ac:dyDescent="0.3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</row>
    <row r="720" spans="1:28" x14ac:dyDescent="0.3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</row>
    <row r="721" spans="1:28" x14ac:dyDescent="0.3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</row>
    <row r="722" spans="1:28" x14ac:dyDescent="0.3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</row>
    <row r="723" spans="1:28" x14ac:dyDescent="0.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</row>
    <row r="724" spans="1:28" x14ac:dyDescent="0.3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</row>
    <row r="725" spans="1:28" x14ac:dyDescent="0.3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</row>
    <row r="726" spans="1:28" x14ac:dyDescent="0.3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</row>
    <row r="727" spans="1:28" x14ac:dyDescent="0.3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</row>
    <row r="728" spans="1:28" x14ac:dyDescent="0.3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</row>
    <row r="729" spans="1:28" x14ac:dyDescent="0.3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</row>
    <row r="730" spans="1:28" x14ac:dyDescent="0.3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</row>
    <row r="731" spans="1:28" x14ac:dyDescent="0.3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</row>
    <row r="732" spans="1:28" x14ac:dyDescent="0.3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</row>
    <row r="733" spans="1:28" x14ac:dyDescent="0.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</row>
    <row r="734" spans="1:28" x14ac:dyDescent="0.3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</row>
    <row r="735" spans="1:28" x14ac:dyDescent="0.3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</row>
    <row r="736" spans="1:28" x14ac:dyDescent="0.3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</row>
    <row r="737" spans="1:28" x14ac:dyDescent="0.3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</row>
    <row r="738" spans="1:28" x14ac:dyDescent="0.3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</row>
    <row r="739" spans="1:28" x14ac:dyDescent="0.3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</row>
    <row r="740" spans="1:28" x14ac:dyDescent="0.3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</row>
    <row r="741" spans="1:28" x14ac:dyDescent="0.3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</row>
    <row r="742" spans="1:28" x14ac:dyDescent="0.3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</row>
    <row r="743" spans="1:28" x14ac:dyDescent="0.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</row>
    <row r="744" spans="1:28" x14ac:dyDescent="0.3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</row>
    <row r="745" spans="1:28" x14ac:dyDescent="0.3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</row>
    <row r="746" spans="1:28" x14ac:dyDescent="0.3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</row>
    <row r="747" spans="1:28" x14ac:dyDescent="0.3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</row>
    <row r="748" spans="1:28" x14ac:dyDescent="0.3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</row>
    <row r="749" spans="1:28" x14ac:dyDescent="0.3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</row>
    <row r="750" spans="1:28" x14ac:dyDescent="0.3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</row>
    <row r="751" spans="1:28" x14ac:dyDescent="0.3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</row>
    <row r="752" spans="1:28" x14ac:dyDescent="0.3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</row>
    <row r="753" spans="1:28" x14ac:dyDescent="0.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</row>
    <row r="754" spans="1:28" x14ac:dyDescent="0.3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</row>
    <row r="755" spans="1:28" x14ac:dyDescent="0.3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</row>
    <row r="756" spans="1:28" x14ac:dyDescent="0.3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</row>
    <row r="757" spans="1:28" x14ac:dyDescent="0.3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</row>
    <row r="758" spans="1:28" x14ac:dyDescent="0.3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</row>
    <row r="759" spans="1:28" x14ac:dyDescent="0.3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</row>
    <row r="760" spans="1:28" x14ac:dyDescent="0.3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</row>
    <row r="761" spans="1:28" x14ac:dyDescent="0.3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</row>
    <row r="762" spans="1:28" x14ac:dyDescent="0.3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</row>
    <row r="763" spans="1:28" x14ac:dyDescent="0.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</row>
    <row r="764" spans="1:28" x14ac:dyDescent="0.3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</row>
    <row r="765" spans="1:28" x14ac:dyDescent="0.3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</row>
    <row r="766" spans="1:28" x14ac:dyDescent="0.3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</row>
    <row r="767" spans="1:28" x14ac:dyDescent="0.3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</row>
    <row r="768" spans="1:28" x14ac:dyDescent="0.3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</row>
    <row r="769" spans="1:28" x14ac:dyDescent="0.3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</row>
    <row r="770" spans="1:28" x14ac:dyDescent="0.3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</row>
    <row r="771" spans="1:28" x14ac:dyDescent="0.3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</row>
    <row r="772" spans="1:28" x14ac:dyDescent="0.3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</row>
    <row r="773" spans="1:28" x14ac:dyDescent="0.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</row>
    <row r="774" spans="1:28" x14ac:dyDescent="0.3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</row>
    <row r="775" spans="1:28" x14ac:dyDescent="0.3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</row>
    <row r="776" spans="1:28" x14ac:dyDescent="0.3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</row>
    <row r="777" spans="1:28" x14ac:dyDescent="0.3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</row>
    <row r="778" spans="1:28" x14ac:dyDescent="0.3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</row>
    <row r="779" spans="1:28" x14ac:dyDescent="0.3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</row>
    <row r="780" spans="1:28" x14ac:dyDescent="0.3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</row>
    <row r="781" spans="1:28" x14ac:dyDescent="0.3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</row>
    <row r="782" spans="1:28" x14ac:dyDescent="0.3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</row>
    <row r="783" spans="1:28" x14ac:dyDescent="0.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</row>
    <row r="784" spans="1:28" x14ac:dyDescent="0.3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</row>
    <row r="785" spans="1:28" x14ac:dyDescent="0.3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</row>
    <row r="786" spans="1:28" x14ac:dyDescent="0.3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</row>
    <row r="787" spans="1:28" x14ac:dyDescent="0.3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</row>
    <row r="788" spans="1:28" x14ac:dyDescent="0.3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</row>
    <row r="789" spans="1:28" x14ac:dyDescent="0.3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</row>
    <row r="790" spans="1:28" x14ac:dyDescent="0.3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</row>
    <row r="791" spans="1:28" x14ac:dyDescent="0.3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</row>
    <row r="792" spans="1:28" x14ac:dyDescent="0.3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</row>
    <row r="793" spans="1:28" x14ac:dyDescent="0.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</row>
    <row r="794" spans="1:28" x14ac:dyDescent="0.3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</row>
    <row r="795" spans="1:28" x14ac:dyDescent="0.3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</row>
    <row r="796" spans="1:28" x14ac:dyDescent="0.3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</row>
    <row r="797" spans="1:28" x14ac:dyDescent="0.3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</row>
    <row r="798" spans="1:28" x14ac:dyDescent="0.3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</row>
    <row r="799" spans="1:28" x14ac:dyDescent="0.3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</row>
    <row r="800" spans="1:28" x14ac:dyDescent="0.3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</row>
    <row r="801" spans="1:28" x14ac:dyDescent="0.3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</row>
    <row r="802" spans="1:28" x14ac:dyDescent="0.3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</row>
    <row r="803" spans="1:28" x14ac:dyDescent="0.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</row>
    <row r="804" spans="1:28" x14ac:dyDescent="0.3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</row>
    <row r="805" spans="1:28" x14ac:dyDescent="0.3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</row>
    <row r="806" spans="1:28" x14ac:dyDescent="0.3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</row>
    <row r="807" spans="1:28" x14ac:dyDescent="0.3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</row>
    <row r="808" spans="1:28" x14ac:dyDescent="0.3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</row>
    <row r="809" spans="1:28" x14ac:dyDescent="0.3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</row>
    <row r="810" spans="1:28" x14ac:dyDescent="0.3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</row>
    <row r="811" spans="1:28" x14ac:dyDescent="0.3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</row>
    <row r="812" spans="1:28" x14ac:dyDescent="0.3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</row>
    <row r="813" spans="1:28" x14ac:dyDescent="0.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</row>
    <row r="814" spans="1:28" x14ac:dyDescent="0.3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</row>
    <row r="815" spans="1:28" x14ac:dyDescent="0.3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</row>
    <row r="816" spans="1:28" x14ac:dyDescent="0.3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</row>
    <row r="817" spans="1:28" x14ac:dyDescent="0.3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</row>
    <row r="818" spans="1:28" x14ac:dyDescent="0.3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</row>
    <row r="819" spans="1:28" x14ac:dyDescent="0.3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</row>
    <row r="820" spans="1:28" x14ac:dyDescent="0.3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</row>
    <row r="821" spans="1:28" x14ac:dyDescent="0.3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</row>
    <row r="822" spans="1:28" x14ac:dyDescent="0.3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</row>
    <row r="823" spans="1:28" x14ac:dyDescent="0.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</row>
    <row r="824" spans="1:28" x14ac:dyDescent="0.3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</row>
    <row r="825" spans="1:28" x14ac:dyDescent="0.3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</row>
    <row r="826" spans="1:28" x14ac:dyDescent="0.3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</row>
    <row r="827" spans="1:28" x14ac:dyDescent="0.3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</row>
    <row r="828" spans="1:28" x14ac:dyDescent="0.3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</row>
    <row r="829" spans="1:28" x14ac:dyDescent="0.3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</row>
    <row r="830" spans="1:28" x14ac:dyDescent="0.3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</row>
    <row r="831" spans="1:28" x14ac:dyDescent="0.3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</row>
    <row r="832" spans="1:28" x14ac:dyDescent="0.3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</row>
    <row r="833" spans="1:28" x14ac:dyDescent="0.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</row>
    <row r="834" spans="1:28" x14ac:dyDescent="0.3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</row>
    <row r="835" spans="1:28" x14ac:dyDescent="0.3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</row>
    <row r="836" spans="1:28" x14ac:dyDescent="0.3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</row>
    <row r="837" spans="1:28" x14ac:dyDescent="0.3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</row>
    <row r="838" spans="1:28" x14ac:dyDescent="0.3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</row>
    <row r="839" spans="1:28" x14ac:dyDescent="0.3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</row>
    <row r="840" spans="1:28" x14ac:dyDescent="0.3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</row>
    <row r="841" spans="1:28" x14ac:dyDescent="0.3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</row>
    <row r="842" spans="1:28" x14ac:dyDescent="0.3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</row>
    <row r="843" spans="1:28" x14ac:dyDescent="0.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</row>
    <row r="844" spans="1:28" x14ac:dyDescent="0.3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</row>
    <row r="845" spans="1:28" x14ac:dyDescent="0.3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</row>
    <row r="846" spans="1:28" x14ac:dyDescent="0.3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</row>
    <row r="847" spans="1:28" x14ac:dyDescent="0.3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</row>
    <row r="848" spans="1:28" x14ac:dyDescent="0.3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</row>
    <row r="849" spans="1:28" x14ac:dyDescent="0.3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</row>
    <row r="850" spans="1:28" x14ac:dyDescent="0.3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</row>
    <row r="851" spans="1:28" x14ac:dyDescent="0.3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</row>
    <row r="852" spans="1:28" x14ac:dyDescent="0.3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</row>
    <row r="853" spans="1:28" x14ac:dyDescent="0.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</row>
    <row r="854" spans="1:28" x14ac:dyDescent="0.3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</row>
    <row r="855" spans="1:28" x14ac:dyDescent="0.3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</row>
    <row r="856" spans="1:28" x14ac:dyDescent="0.3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</row>
    <row r="857" spans="1:28" x14ac:dyDescent="0.3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</row>
    <row r="858" spans="1:28" x14ac:dyDescent="0.3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</row>
    <row r="859" spans="1:28" x14ac:dyDescent="0.3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</row>
    <row r="860" spans="1:28" x14ac:dyDescent="0.3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</row>
    <row r="861" spans="1:28" x14ac:dyDescent="0.3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</row>
    <row r="862" spans="1:28" x14ac:dyDescent="0.3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</row>
    <row r="863" spans="1:28" x14ac:dyDescent="0.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</row>
    <row r="864" spans="1:28" x14ac:dyDescent="0.3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</row>
    <row r="865" spans="1:28" x14ac:dyDescent="0.3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</row>
    <row r="866" spans="1:28" x14ac:dyDescent="0.3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</row>
    <row r="867" spans="1:28" x14ac:dyDescent="0.3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</row>
    <row r="868" spans="1:28" x14ac:dyDescent="0.3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</row>
    <row r="869" spans="1:28" x14ac:dyDescent="0.3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</row>
    <row r="870" spans="1:28" x14ac:dyDescent="0.3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</row>
    <row r="871" spans="1:28" x14ac:dyDescent="0.3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</row>
    <row r="872" spans="1:28" x14ac:dyDescent="0.3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</row>
    <row r="873" spans="1:28" x14ac:dyDescent="0.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</row>
    <row r="874" spans="1:28" x14ac:dyDescent="0.3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</row>
    <row r="875" spans="1:28" x14ac:dyDescent="0.3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</row>
    <row r="876" spans="1:28" x14ac:dyDescent="0.3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</row>
    <row r="877" spans="1:28" x14ac:dyDescent="0.3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</row>
    <row r="878" spans="1:28" x14ac:dyDescent="0.3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</row>
    <row r="879" spans="1:28" x14ac:dyDescent="0.3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</row>
    <row r="880" spans="1:28" x14ac:dyDescent="0.3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</row>
    <row r="881" spans="1:28" x14ac:dyDescent="0.3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</row>
    <row r="882" spans="1:28" x14ac:dyDescent="0.3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</row>
    <row r="883" spans="1:28" x14ac:dyDescent="0.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</row>
    <row r="884" spans="1:28" x14ac:dyDescent="0.3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</row>
    <row r="885" spans="1:28" x14ac:dyDescent="0.3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</row>
    <row r="886" spans="1:28" x14ac:dyDescent="0.3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</row>
    <row r="887" spans="1:28" x14ac:dyDescent="0.3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</row>
    <row r="888" spans="1:28" x14ac:dyDescent="0.3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</row>
    <row r="889" spans="1:28" x14ac:dyDescent="0.3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</row>
    <row r="890" spans="1:28" x14ac:dyDescent="0.3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</row>
    <row r="891" spans="1:28" x14ac:dyDescent="0.3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</row>
    <row r="892" spans="1:28" x14ac:dyDescent="0.3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</row>
    <row r="893" spans="1:28" x14ac:dyDescent="0.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</row>
    <row r="894" spans="1:28" x14ac:dyDescent="0.3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</row>
    <row r="895" spans="1:28" x14ac:dyDescent="0.3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</row>
    <row r="896" spans="1:28" x14ac:dyDescent="0.3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</row>
    <row r="897" spans="1:28" x14ac:dyDescent="0.3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</row>
    <row r="898" spans="1:28" x14ac:dyDescent="0.3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</row>
    <row r="899" spans="1:28" x14ac:dyDescent="0.3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</row>
    <row r="900" spans="1:28" x14ac:dyDescent="0.3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</row>
    <row r="901" spans="1:28" x14ac:dyDescent="0.3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</row>
    <row r="902" spans="1:28" x14ac:dyDescent="0.3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</row>
    <row r="903" spans="1:28" x14ac:dyDescent="0.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</row>
    <row r="904" spans="1:28" x14ac:dyDescent="0.3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</row>
    <row r="905" spans="1:28" x14ac:dyDescent="0.3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</row>
    <row r="906" spans="1:28" x14ac:dyDescent="0.3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</row>
    <row r="907" spans="1:28" x14ac:dyDescent="0.3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</row>
    <row r="908" spans="1:28" x14ac:dyDescent="0.3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</row>
    <row r="909" spans="1:28" x14ac:dyDescent="0.3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</row>
    <row r="910" spans="1:28" x14ac:dyDescent="0.3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</row>
    <row r="911" spans="1:28" x14ac:dyDescent="0.3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</row>
    <row r="912" spans="1:28" x14ac:dyDescent="0.3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</row>
    <row r="913" spans="1:28" x14ac:dyDescent="0.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</row>
    <row r="914" spans="1:28" x14ac:dyDescent="0.3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</row>
    <row r="915" spans="1:28" x14ac:dyDescent="0.3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</row>
    <row r="916" spans="1:28" x14ac:dyDescent="0.3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</row>
    <row r="917" spans="1:28" x14ac:dyDescent="0.3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</row>
    <row r="918" spans="1:28" x14ac:dyDescent="0.3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</row>
    <row r="919" spans="1:28" x14ac:dyDescent="0.3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</row>
    <row r="920" spans="1:28" x14ac:dyDescent="0.3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</row>
    <row r="921" spans="1:28" x14ac:dyDescent="0.3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</row>
    <row r="922" spans="1:28" x14ac:dyDescent="0.3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</row>
    <row r="923" spans="1:28" x14ac:dyDescent="0.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</row>
    <row r="924" spans="1:28" x14ac:dyDescent="0.3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</row>
    <row r="925" spans="1:28" x14ac:dyDescent="0.3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</row>
    <row r="926" spans="1:28" x14ac:dyDescent="0.3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</row>
    <row r="927" spans="1:28" x14ac:dyDescent="0.3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</row>
    <row r="928" spans="1:28" x14ac:dyDescent="0.3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</row>
    <row r="929" spans="1:28" x14ac:dyDescent="0.3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</row>
    <row r="930" spans="1:28" x14ac:dyDescent="0.3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</row>
    <row r="931" spans="1:28" x14ac:dyDescent="0.3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</row>
    <row r="932" spans="1:28" x14ac:dyDescent="0.3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</row>
    <row r="933" spans="1:28" x14ac:dyDescent="0.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</row>
    <row r="934" spans="1:28" x14ac:dyDescent="0.3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</row>
    <row r="935" spans="1:28" x14ac:dyDescent="0.3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</row>
    <row r="936" spans="1:28" x14ac:dyDescent="0.3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</row>
    <row r="937" spans="1:28" x14ac:dyDescent="0.3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</row>
    <row r="938" spans="1:28" x14ac:dyDescent="0.3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</row>
    <row r="939" spans="1:28" x14ac:dyDescent="0.3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</row>
    <row r="940" spans="1:28" x14ac:dyDescent="0.3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</row>
    <row r="941" spans="1:28" x14ac:dyDescent="0.3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</row>
    <row r="942" spans="1:28" x14ac:dyDescent="0.3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</row>
    <row r="943" spans="1:28" x14ac:dyDescent="0.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</row>
    <row r="944" spans="1:28" x14ac:dyDescent="0.3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</row>
    <row r="945" spans="1:28" x14ac:dyDescent="0.3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</row>
    <row r="946" spans="1:28" x14ac:dyDescent="0.3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</row>
    <row r="947" spans="1:28" x14ac:dyDescent="0.3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</row>
    <row r="948" spans="1:28" x14ac:dyDescent="0.3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</row>
    <row r="949" spans="1:28" x14ac:dyDescent="0.3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</row>
    <row r="950" spans="1:28" x14ac:dyDescent="0.3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</row>
    <row r="951" spans="1:28" x14ac:dyDescent="0.3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</row>
    <row r="952" spans="1:28" x14ac:dyDescent="0.3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</row>
    <row r="953" spans="1:28" x14ac:dyDescent="0.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</row>
    <row r="954" spans="1:28" x14ac:dyDescent="0.3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</row>
    <row r="955" spans="1:28" x14ac:dyDescent="0.3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</row>
    <row r="956" spans="1:28" x14ac:dyDescent="0.3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</row>
    <row r="957" spans="1:28" x14ac:dyDescent="0.3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</row>
    <row r="958" spans="1:28" x14ac:dyDescent="0.3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</row>
    <row r="959" spans="1:28" x14ac:dyDescent="0.3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</row>
    <row r="960" spans="1:28" x14ac:dyDescent="0.3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</row>
    <row r="961" spans="1:28" x14ac:dyDescent="0.3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</row>
    <row r="962" spans="1:28" x14ac:dyDescent="0.3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</row>
    <row r="963" spans="1:28" x14ac:dyDescent="0.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</row>
    <row r="964" spans="1:28" x14ac:dyDescent="0.3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</row>
    <row r="965" spans="1:28" x14ac:dyDescent="0.3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</row>
    <row r="966" spans="1:28" x14ac:dyDescent="0.3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</row>
    <row r="967" spans="1:28" x14ac:dyDescent="0.3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</row>
    <row r="968" spans="1:28" x14ac:dyDescent="0.3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</row>
    <row r="969" spans="1:28" x14ac:dyDescent="0.3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</row>
    <row r="970" spans="1:28" x14ac:dyDescent="0.3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</row>
    <row r="971" spans="1:28" x14ac:dyDescent="0.3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</row>
    <row r="972" spans="1:28" x14ac:dyDescent="0.3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</row>
    <row r="973" spans="1:28" x14ac:dyDescent="0.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</row>
    <row r="974" spans="1:28" x14ac:dyDescent="0.3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</row>
    <row r="975" spans="1:28" x14ac:dyDescent="0.3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</row>
    <row r="976" spans="1:28" x14ac:dyDescent="0.3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</row>
    <row r="977" spans="1:28" x14ac:dyDescent="0.3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</row>
    <row r="978" spans="1:28" x14ac:dyDescent="0.3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</row>
    <row r="979" spans="1:28" x14ac:dyDescent="0.3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</row>
    <row r="980" spans="1:28" x14ac:dyDescent="0.3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</row>
    <row r="981" spans="1:28" x14ac:dyDescent="0.3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</row>
    <row r="982" spans="1:28" x14ac:dyDescent="0.3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</row>
    <row r="983" spans="1:28" x14ac:dyDescent="0.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</row>
    <row r="984" spans="1:28" x14ac:dyDescent="0.3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</row>
    <row r="985" spans="1:28" x14ac:dyDescent="0.3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</row>
    <row r="986" spans="1:28" x14ac:dyDescent="0.3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</row>
    <row r="987" spans="1:28" x14ac:dyDescent="0.3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</row>
    <row r="988" spans="1:28" x14ac:dyDescent="0.3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</row>
    <row r="989" spans="1:28" x14ac:dyDescent="0.3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</row>
    <row r="990" spans="1:28" x14ac:dyDescent="0.3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</row>
    <row r="991" spans="1:28" x14ac:dyDescent="0.3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</row>
    <row r="992" spans="1:28" x14ac:dyDescent="0.3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</row>
    <row r="993" spans="1:28" x14ac:dyDescent="0.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</row>
    <row r="994" spans="1:28" x14ac:dyDescent="0.3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</row>
    <row r="995" spans="1:28" x14ac:dyDescent="0.3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</row>
    <row r="996" spans="1:28" x14ac:dyDescent="0.3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</row>
    <row r="997" spans="1:28" x14ac:dyDescent="0.3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</row>
    <row r="998" spans="1:28" x14ac:dyDescent="0.3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</row>
    <row r="999" spans="1:28" x14ac:dyDescent="0.3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</row>
    <row r="1000" spans="1:28" x14ac:dyDescent="0.3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</row>
    <row r="1001" spans="1:28" x14ac:dyDescent="0.3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</row>
    <row r="1002" spans="1:28" x14ac:dyDescent="0.3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</row>
    <row r="1003" spans="1:28" x14ac:dyDescent="0.3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</row>
    <row r="1004" spans="1:28" x14ac:dyDescent="0.3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</row>
    <row r="1005" spans="1:28" x14ac:dyDescent="0.3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</row>
    <row r="1006" spans="1:28" x14ac:dyDescent="0.3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</row>
    <row r="1007" spans="1:28" x14ac:dyDescent="0.3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</row>
    <row r="1008" spans="1:28" x14ac:dyDescent="0.3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</row>
    <row r="1009" spans="1:28" x14ac:dyDescent="0.3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</row>
    <row r="1010" spans="1:28" x14ac:dyDescent="0.3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</row>
  </sheetData>
  <mergeCells count="4">
    <mergeCell ref="A43:E43"/>
    <mergeCell ref="A46:B46"/>
    <mergeCell ref="C46:O46"/>
    <mergeCell ref="A67:E67"/>
  </mergeCells>
  <conditionalFormatting sqref="O2:O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whole" allowBlank="1" showInputMessage="1" showErrorMessage="1" sqref="E30" xr:uid="{C32BF24D-4931-4DAC-A1A1-F58461CB2C50}">
      <formula1>10</formula1>
      <formula2>10</formula2>
    </dataValidation>
    <dataValidation type="textLength" allowBlank="1" showInputMessage="1" showErrorMessage="1" sqref="F32" xr:uid="{9FCC0FB7-11E5-4908-BA81-EEEE7345DA32}">
      <formula1>10</formula1>
      <formula2>10</formula2>
    </dataValidation>
  </dataValidations>
  <hyperlinks>
    <hyperlink ref="A1" r:id="rId1" display="http://s.no/" xr:uid="{DD743E60-D969-4EF8-9B28-E0150A58116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8CD8-F265-47CD-8DEA-CDFA6C9449DC}">
  <dimension ref="C1:U13"/>
  <sheetViews>
    <sheetView tabSelected="1" topLeftCell="G1" zoomScale="117" workbookViewId="0">
      <selection activeCell="L5" sqref="L5"/>
    </sheetView>
  </sheetViews>
  <sheetFormatPr defaultRowHeight="14.4" x14ac:dyDescent="0.3"/>
  <cols>
    <col min="3" max="3" width="5.77734375" bestFit="1" customWidth="1"/>
    <col min="4" max="4" width="12.6640625" bestFit="1" customWidth="1"/>
    <col min="5" max="5" width="9.33203125" style="126" bestFit="1" customWidth="1"/>
    <col min="6" max="6" width="39.88671875" bestFit="1" customWidth="1"/>
    <col min="7" max="7" width="18.44140625" bestFit="1" customWidth="1"/>
    <col min="8" max="8" width="10.77734375" bestFit="1" customWidth="1"/>
    <col min="9" max="9" width="13.109375" bestFit="1" customWidth="1"/>
    <col min="12" max="12" width="8" bestFit="1" customWidth="1"/>
    <col min="13" max="13" width="10.88671875" bestFit="1" customWidth="1"/>
    <col min="14" max="14" width="6.109375" bestFit="1" customWidth="1"/>
    <col min="15" max="15" width="18.21875" bestFit="1" customWidth="1"/>
    <col min="16" max="16" width="6.6640625" bestFit="1" customWidth="1"/>
    <col min="17" max="17" width="10.77734375" bestFit="1" customWidth="1"/>
    <col min="18" max="18" width="12" bestFit="1" customWidth="1"/>
    <col min="21" max="21" width="18.21875" bestFit="1" customWidth="1"/>
  </cols>
  <sheetData>
    <row r="1" spans="3:21" ht="15" thickBot="1" x14ac:dyDescent="0.35"/>
    <row r="2" spans="3:21" ht="15" thickBot="1" x14ac:dyDescent="0.35">
      <c r="C2" s="120" t="s">
        <v>174</v>
      </c>
      <c r="D2" s="121" t="s">
        <v>26</v>
      </c>
      <c r="E2" s="127" t="s">
        <v>27</v>
      </c>
      <c r="F2" s="121" t="s">
        <v>28</v>
      </c>
      <c r="G2" s="121" t="s">
        <v>29</v>
      </c>
      <c r="H2" s="122" t="s">
        <v>110</v>
      </c>
      <c r="I2" s="122" t="s">
        <v>175</v>
      </c>
    </row>
    <row r="3" spans="3:21" ht="15" thickBot="1" x14ac:dyDescent="0.35">
      <c r="C3" s="60">
        <v>1</v>
      </c>
      <c r="D3" s="61">
        <v>2070</v>
      </c>
      <c r="E3" s="128">
        <v>45872</v>
      </c>
      <c r="F3" s="63" t="s">
        <v>113</v>
      </c>
      <c r="G3" s="64" t="s">
        <v>114</v>
      </c>
      <c r="H3" s="64">
        <v>44111200</v>
      </c>
      <c r="I3" s="123">
        <v>87200</v>
      </c>
      <c r="L3" s="120" t="s">
        <v>174</v>
      </c>
      <c r="M3" s="121" t="s">
        <v>26</v>
      </c>
      <c r="N3" s="127" t="s">
        <v>27</v>
      </c>
      <c r="O3" s="121" t="s">
        <v>28</v>
      </c>
      <c r="P3" s="121" t="s">
        <v>29</v>
      </c>
      <c r="Q3" s="122" t="s">
        <v>110</v>
      </c>
      <c r="R3" s="122" t="s">
        <v>175</v>
      </c>
      <c r="U3" s="121" t="s">
        <v>28</v>
      </c>
    </row>
    <row r="4" spans="3:21" ht="15" thickBot="1" x14ac:dyDescent="0.35">
      <c r="C4" s="60">
        <v>2</v>
      </c>
      <c r="D4" s="61" t="s">
        <v>293</v>
      </c>
      <c r="E4" s="128">
        <v>45874</v>
      </c>
      <c r="F4" s="63" t="s">
        <v>294</v>
      </c>
      <c r="G4" s="64" t="s">
        <v>295</v>
      </c>
      <c r="H4" s="64">
        <v>8517300</v>
      </c>
      <c r="I4" s="123">
        <v>14500</v>
      </c>
      <c r="L4" cm="1">
        <f t="array" ref="L4:R4">_xlfn._xlws.FILTER(C2:I13,F2:F13=U4)</f>
        <v>10</v>
      </c>
      <c r="M4" t="str">
        <v>AIPL-2513</v>
      </c>
      <c r="N4">
        <v>45898</v>
      </c>
      <c r="O4" t="str">
        <v>Amazing Infotech Private Limited</v>
      </c>
      <c r="P4" t="str">
        <v>07AAYCA9845J1ZQ</v>
      </c>
      <c r="Q4">
        <v>84439959</v>
      </c>
      <c r="R4">
        <v>10700</v>
      </c>
      <c r="U4" t="s">
        <v>309</v>
      </c>
    </row>
    <row r="5" spans="3:21" ht="15" thickBot="1" x14ac:dyDescent="0.35">
      <c r="C5" s="60">
        <v>3</v>
      </c>
      <c r="D5" s="61">
        <v>2073</v>
      </c>
      <c r="E5" s="128">
        <v>45876</v>
      </c>
      <c r="F5" s="63" t="s">
        <v>113</v>
      </c>
      <c r="G5" s="64" t="s">
        <v>114</v>
      </c>
      <c r="H5" s="64">
        <v>39219099</v>
      </c>
      <c r="I5" s="123">
        <v>36300</v>
      </c>
    </row>
    <row r="6" spans="3:21" ht="15" thickBot="1" x14ac:dyDescent="0.35">
      <c r="C6" s="60">
        <v>4</v>
      </c>
      <c r="D6" s="61" t="s">
        <v>296</v>
      </c>
      <c r="E6" s="128">
        <v>45881</v>
      </c>
      <c r="F6" s="63" t="s">
        <v>297</v>
      </c>
      <c r="G6" s="64" t="s">
        <v>211</v>
      </c>
      <c r="H6" s="64">
        <v>84439959</v>
      </c>
      <c r="I6" s="123">
        <v>11000</v>
      </c>
    </row>
    <row r="7" spans="3:21" ht="15" thickBot="1" x14ac:dyDescent="0.35">
      <c r="C7" s="60">
        <v>5</v>
      </c>
      <c r="D7" s="61" t="s">
        <v>298</v>
      </c>
      <c r="E7" s="128">
        <v>45883</v>
      </c>
      <c r="F7" s="63" t="s">
        <v>299</v>
      </c>
      <c r="G7" s="64" t="s">
        <v>300</v>
      </c>
      <c r="H7" s="64">
        <v>2828</v>
      </c>
      <c r="I7" s="123">
        <v>2550</v>
      </c>
    </row>
    <row r="8" spans="3:21" ht="15" thickBot="1" x14ac:dyDescent="0.35">
      <c r="C8" s="70">
        <v>6</v>
      </c>
      <c r="D8" s="61">
        <v>2079</v>
      </c>
      <c r="E8" s="128">
        <v>45888</v>
      </c>
      <c r="F8" s="63" t="s">
        <v>113</v>
      </c>
      <c r="G8" s="64" t="s">
        <v>114</v>
      </c>
      <c r="H8" s="64">
        <v>44111200</v>
      </c>
      <c r="I8" s="123">
        <v>71200</v>
      </c>
    </row>
    <row r="9" spans="3:21" ht="15" thickBot="1" x14ac:dyDescent="0.35">
      <c r="C9" s="70">
        <v>7</v>
      </c>
      <c r="D9" s="61" t="s">
        <v>301</v>
      </c>
      <c r="E9" s="128">
        <v>45889</v>
      </c>
      <c r="F9" s="63" t="s">
        <v>302</v>
      </c>
      <c r="G9" s="64" t="s">
        <v>303</v>
      </c>
      <c r="H9" s="64">
        <v>85171300</v>
      </c>
      <c r="I9" s="123">
        <v>133898.31</v>
      </c>
    </row>
    <row r="10" spans="3:21" ht="15" thickBot="1" x14ac:dyDescent="0.35">
      <c r="C10" s="70">
        <v>8</v>
      </c>
      <c r="D10" s="61">
        <v>196</v>
      </c>
      <c r="E10" s="128">
        <v>45892</v>
      </c>
      <c r="F10" s="63" t="s">
        <v>304</v>
      </c>
      <c r="G10" s="64" t="s">
        <v>116</v>
      </c>
      <c r="H10" s="64">
        <v>3919</v>
      </c>
      <c r="I10" s="123">
        <v>63416</v>
      </c>
    </row>
    <row r="11" spans="3:21" ht="15" thickBot="1" x14ac:dyDescent="0.35">
      <c r="C11" s="70">
        <v>9</v>
      </c>
      <c r="D11" s="61" t="s">
        <v>305</v>
      </c>
      <c r="E11" s="128">
        <v>45898</v>
      </c>
      <c r="F11" s="63" t="s">
        <v>306</v>
      </c>
      <c r="G11" s="64" t="s">
        <v>307</v>
      </c>
      <c r="H11" s="64">
        <v>84145120</v>
      </c>
      <c r="I11" s="123">
        <v>12711.86</v>
      </c>
    </row>
    <row r="12" spans="3:21" ht="15" thickBot="1" x14ac:dyDescent="0.35">
      <c r="C12" s="70">
        <v>10</v>
      </c>
      <c r="D12" s="61" t="s">
        <v>308</v>
      </c>
      <c r="E12" s="128">
        <v>45898</v>
      </c>
      <c r="F12" s="63" t="s">
        <v>309</v>
      </c>
      <c r="G12" s="64" t="s">
        <v>196</v>
      </c>
      <c r="H12" s="64">
        <v>84439959</v>
      </c>
      <c r="I12" s="123">
        <v>10700</v>
      </c>
    </row>
    <row r="13" spans="3:21" ht="15" thickBot="1" x14ac:dyDescent="0.35">
      <c r="C13" s="70">
        <v>11</v>
      </c>
      <c r="D13" s="61">
        <v>2089</v>
      </c>
      <c r="E13" s="128">
        <v>45899</v>
      </c>
      <c r="F13" s="63" t="s">
        <v>113</v>
      </c>
      <c r="G13" s="64" t="s">
        <v>114</v>
      </c>
      <c r="H13" s="64">
        <v>44111200</v>
      </c>
      <c r="I13" s="123">
        <v>36000</v>
      </c>
    </row>
  </sheetData>
  <dataValidations count="1">
    <dataValidation type="list" allowBlank="1" showInputMessage="1" showErrorMessage="1" sqref="U4" xr:uid="{F21AED0F-9BD2-4A36-B0F3-9D5F732F06B4}">
      <formula1>$F$3:$F$13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Filter Formula</vt:lpstr>
      <vt:lpstr>Dec-2025</vt:lpstr>
      <vt:lpstr>Nov-2025</vt:lpstr>
      <vt:lpstr>Oct-2025</vt:lpstr>
      <vt:lpstr>Sept-2025</vt:lpstr>
      <vt:lpstr>Aug-2025</vt:lpstr>
      <vt:lpstr>Sheet1</vt:lpstr>
      <vt:lpstr>Sheet2</vt:lpstr>
      <vt:lpstr>Jul-2025</vt:lpstr>
      <vt:lpstr>Jun-2025</vt:lpstr>
      <vt:lpstr>May-2025</vt:lpstr>
      <vt:lpstr>Apr-2025</vt:lpstr>
      <vt:lpstr>Sheet2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Aamna</dc:creator>
  <cp:keywords/>
  <dc:description/>
  <cp:lastModifiedBy>ARJUN INDORAM</cp:lastModifiedBy>
  <cp:revision/>
  <dcterms:created xsi:type="dcterms:W3CDTF">2023-05-25T12:04:23Z</dcterms:created>
  <dcterms:modified xsi:type="dcterms:W3CDTF">2026-03-02T10:38:42Z</dcterms:modified>
  <cp:category/>
  <cp:contentStatus/>
</cp:coreProperties>
</file>