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72" documentId="8_{9705C3B7-A98D-41DA-9885-67C371FED6F3}" xr6:coauthVersionLast="47" xr6:coauthVersionMax="47" xr10:uidLastSave="{157FA586-02F5-4C70-A3EB-43DB950239CD}"/>
  <bookViews>
    <workbookView xWindow="-108" yWindow="-108" windowWidth="23256" windowHeight="12456" activeTab="1" xr2:uid="{8D5446E6-43F5-4E11-83EB-FDC15F6C2F9E}"/>
  </bookViews>
  <sheets>
    <sheet name="Payroll Sheet" sheetId="1" r:id="rId1"/>
    <sheet name="Sheet1" sheetId="3" r:id="rId2"/>
    <sheet name="Formula Payroll 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J9" i="3" s="1"/>
  <c r="L9" i="3" s="1"/>
  <c r="G8" i="3"/>
  <c r="J8" i="3" s="1"/>
  <c r="L8" i="3" s="1"/>
  <c r="G7" i="3"/>
  <c r="J7" i="3" s="1"/>
  <c r="L7" i="3" s="1"/>
  <c r="G6" i="3"/>
  <c r="J6" i="3" s="1"/>
  <c r="L6" i="3" s="1"/>
  <c r="J5" i="3"/>
  <c r="L5" i="3" s="1"/>
  <c r="G5" i="3"/>
  <c r="J4" i="3"/>
  <c r="L4" i="3" s="1"/>
  <c r="G4" i="3"/>
  <c r="K6" i="1"/>
  <c r="I6" i="1"/>
  <c r="F6" i="1"/>
  <c r="F9" i="1"/>
  <c r="I9" i="1" s="1"/>
  <c r="K9" i="1" s="1"/>
  <c r="K7" i="1"/>
  <c r="K8" i="1"/>
  <c r="K10" i="1"/>
  <c r="K11" i="1"/>
  <c r="F7" i="1"/>
  <c r="F8" i="1"/>
  <c r="I8" i="1" s="1"/>
  <c r="F10" i="1"/>
  <c r="F11" i="1"/>
  <c r="I11" i="1" s="1"/>
  <c r="I7" i="1"/>
  <c r="I10" i="1"/>
</calcChain>
</file>

<file path=xl/sharedStrings.xml><?xml version="1.0" encoding="utf-8"?>
<sst xmlns="http://schemas.openxmlformats.org/spreadsheetml/2006/main" count="55" uniqueCount="28">
  <si>
    <t>Serial No</t>
  </si>
  <si>
    <t>Name</t>
  </si>
  <si>
    <t>Post</t>
  </si>
  <si>
    <t>Basic Salary</t>
  </si>
  <si>
    <t>Perday Salary</t>
  </si>
  <si>
    <t>Present</t>
  </si>
  <si>
    <t>Absent</t>
  </si>
  <si>
    <t>Present Salary</t>
  </si>
  <si>
    <t>Advance</t>
  </si>
  <si>
    <t xml:space="preserve">Pay Salary </t>
  </si>
  <si>
    <t>Mahi</t>
  </si>
  <si>
    <t>Ansh</t>
  </si>
  <si>
    <t>Muskan</t>
  </si>
  <si>
    <t>Abhi</t>
  </si>
  <si>
    <t>Rohan</t>
  </si>
  <si>
    <t>Priya</t>
  </si>
  <si>
    <t>Accountant</t>
  </si>
  <si>
    <t>Counceller</t>
  </si>
  <si>
    <t>Worker</t>
  </si>
  <si>
    <t>CEO</t>
  </si>
  <si>
    <t>Web Developer</t>
  </si>
  <si>
    <t>Pay Salary</t>
  </si>
  <si>
    <t>Basic Salary /31</t>
  </si>
  <si>
    <t>Present Salary- Advance</t>
  </si>
  <si>
    <t>Formula For Payroll Sheet</t>
  </si>
  <si>
    <t>Perday Salary*Present</t>
  </si>
  <si>
    <t xml:space="preserve"> </t>
  </si>
  <si>
    <t>Basic Payroll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</si>
</sst>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4" fontId="2" fillId="2" borderId="2" xfId="0" applyNumberFormat="1" applyFont="1" applyFill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C2A5-F803-4C48-B252-7427B46FF80D}">
  <sheetPr>
    <tabColor theme="5" tint="-0.249977111117893"/>
  </sheetPr>
  <dimension ref="B2:K16"/>
  <sheetViews>
    <sheetView zoomScaleNormal="100" workbookViewId="0">
      <selection activeCell="B5" sqref="B5:K11"/>
    </sheetView>
  </sheetViews>
  <sheetFormatPr defaultRowHeight="14.4" x14ac:dyDescent="0.3"/>
  <cols>
    <col min="2" max="2" width="16.44140625" bestFit="1" customWidth="1"/>
    <col min="3" max="3" width="14.109375" bestFit="1" customWidth="1"/>
    <col min="4" max="4" width="26.44140625" bestFit="1" customWidth="1"/>
    <col min="5" max="5" width="21.109375" bestFit="1" customWidth="1"/>
    <col min="6" max="6" width="23.5546875" bestFit="1" customWidth="1"/>
    <col min="7" max="7" width="13" bestFit="1" customWidth="1"/>
    <col min="8" max="8" width="12.5546875" bestFit="1" customWidth="1"/>
    <col min="9" max="9" width="24.33203125" bestFit="1" customWidth="1"/>
    <col min="10" max="10" width="15.33203125" bestFit="1" customWidth="1"/>
    <col min="11" max="11" width="19.44140625" bestFit="1" customWidth="1"/>
  </cols>
  <sheetData>
    <row r="2" spans="2:11" x14ac:dyDescent="0.3">
      <c r="E2" s="11" t="s">
        <v>27</v>
      </c>
      <c r="F2" s="11"/>
      <c r="G2" s="11"/>
      <c r="H2" s="11"/>
    </row>
    <row r="3" spans="2:11" ht="15" thickBot="1" x14ac:dyDescent="0.35">
      <c r="E3" s="12"/>
      <c r="F3" s="12"/>
      <c r="G3" s="12"/>
      <c r="H3" s="12"/>
    </row>
    <row r="5" spans="2:11" ht="25.2" x14ac:dyDescent="0.3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</row>
    <row r="6" spans="2:11" ht="25.2" x14ac:dyDescent="0.3">
      <c r="B6" s="7">
        <v>1</v>
      </c>
      <c r="C6" s="7" t="s">
        <v>10</v>
      </c>
      <c r="D6" s="7" t="s">
        <v>16</v>
      </c>
      <c r="E6" s="8">
        <v>40000</v>
      </c>
      <c r="F6" s="7">
        <f>ROUND(E6/31,0)</f>
        <v>1290</v>
      </c>
      <c r="G6" s="7">
        <v>29</v>
      </c>
      <c r="H6" s="7">
        <v>2</v>
      </c>
      <c r="I6" s="7">
        <f>F6*G6</f>
        <v>37410</v>
      </c>
      <c r="J6" s="7">
        <v>3000</v>
      </c>
      <c r="K6" s="7">
        <f>I6-J6</f>
        <v>34410</v>
      </c>
    </row>
    <row r="7" spans="2:11" ht="25.2" x14ac:dyDescent="0.3">
      <c r="B7" s="9">
        <v>2</v>
      </c>
      <c r="C7" s="9" t="s">
        <v>11</v>
      </c>
      <c r="D7" s="9" t="s">
        <v>17</v>
      </c>
      <c r="E7" s="10">
        <v>30000</v>
      </c>
      <c r="F7" s="9">
        <f t="shared" ref="F7:F11" si="0">ROUND(E7/31,0)</f>
        <v>968</v>
      </c>
      <c r="G7" s="9">
        <v>30</v>
      </c>
      <c r="H7" s="9">
        <v>1</v>
      </c>
      <c r="I7" s="9">
        <f t="shared" ref="I7:I11" si="1">F7*G7</f>
        <v>29040</v>
      </c>
      <c r="J7" s="9">
        <v>4000</v>
      </c>
      <c r="K7" s="9">
        <f t="shared" ref="K7:K11" si="2">I7-J7</f>
        <v>25040</v>
      </c>
    </row>
    <row r="8" spans="2:11" ht="25.2" x14ac:dyDescent="0.3">
      <c r="B8" s="9">
        <v>3</v>
      </c>
      <c r="C8" s="9" t="s">
        <v>12</v>
      </c>
      <c r="D8" s="9" t="s">
        <v>19</v>
      </c>
      <c r="E8" s="10">
        <v>20000</v>
      </c>
      <c r="F8" s="9">
        <f t="shared" si="0"/>
        <v>645</v>
      </c>
      <c r="G8" s="9">
        <v>25</v>
      </c>
      <c r="H8" s="9">
        <v>6</v>
      </c>
      <c r="I8" s="9">
        <f t="shared" si="1"/>
        <v>16125</v>
      </c>
      <c r="J8" s="9">
        <v>6000</v>
      </c>
      <c r="K8" s="9">
        <f t="shared" si="2"/>
        <v>10125</v>
      </c>
    </row>
    <row r="9" spans="2:11" ht="25.2" x14ac:dyDescent="0.3">
      <c r="B9" s="9">
        <v>4</v>
      </c>
      <c r="C9" s="9" t="s">
        <v>13</v>
      </c>
      <c r="D9" s="9" t="s">
        <v>19</v>
      </c>
      <c r="E9" s="10">
        <v>60000</v>
      </c>
      <c r="F9" s="9">
        <f t="shared" si="0"/>
        <v>1935</v>
      </c>
      <c r="G9" s="9">
        <v>27</v>
      </c>
      <c r="H9" s="9">
        <v>4</v>
      </c>
      <c r="I9" s="9">
        <f t="shared" si="1"/>
        <v>52245</v>
      </c>
      <c r="J9" s="9">
        <v>4000</v>
      </c>
      <c r="K9" s="9">
        <f t="shared" si="2"/>
        <v>48245</v>
      </c>
    </row>
    <row r="10" spans="2:11" ht="25.2" x14ac:dyDescent="0.3">
      <c r="B10" s="9">
        <v>5</v>
      </c>
      <c r="C10" s="9" t="s">
        <v>14</v>
      </c>
      <c r="D10" s="9" t="s">
        <v>20</v>
      </c>
      <c r="E10" s="10">
        <v>30000</v>
      </c>
      <c r="F10" s="9">
        <f t="shared" si="0"/>
        <v>968</v>
      </c>
      <c r="G10" s="9">
        <v>28</v>
      </c>
      <c r="H10" s="9">
        <v>4</v>
      </c>
      <c r="I10" s="9">
        <f t="shared" si="1"/>
        <v>27104</v>
      </c>
      <c r="J10" s="9">
        <v>2000</v>
      </c>
      <c r="K10" s="9">
        <f t="shared" si="2"/>
        <v>25104</v>
      </c>
    </row>
    <row r="11" spans="2:11" ht="25.8" thickBot="1" x14ac:dyDescent="0.35">
      <c r="B11" s="1">
        <v>6</v>
      </c>
      <c r="C11" s="1" t="s">
        <v>15</v>
      </c>
      <c r="D11" s="1" t="s">
        <v>18</v>
      </c>
      <c r="E11" s="2">
        <v>20000</v>
      </c>
      <c r="F11" s="1">
        <f t="shared" si="0"/>
        <v>645</v>
      </c>
      <c r="G11" s="1">
        <v>26</v>
      </c>
      <c r="H11" s="1">
        <v>5</v>
      </c>
      <c r="I11" s="1">
        <f t="shared" si="1"/>
        <v>16770</v>
      </c>
      <c r="J11" s="1">
        <v>3000</v>
      </c>
      <c r="K11" s="1">
        <f t="shared" si="2"/>
        <v>13770</v>
      </c>
    </row>
    <row r="16" spans="2:11" x14ac:dyDescent="0.3">
      <c r="J16" t="s">
        <v>26</v>
      </c>
    </row>
  </sheetData>
  <mergeCells count="1">
    <mergeCell ref="E2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7C55-1603-47D8-8F98-39ACB69DBA4A}">
  <dimension ref="C3:L9"/>
  <sheetViews>
    <sheetView tabSelected="1" workbookViewId="0">
      <selection activeCell="Q14" sqref="Q14"/>
    </sheetView>
  </sheetViews>
  <sheetFormatPr defaultRowHeight="14.4" x14ac:dyDescent="0.3"/>
  <cols>
    <col min="3" max="3" width="15.44140625" bestFit="1" customWidth="1"/>
    <col min="4" max="4" width="13.21875" bestFit="1" customWidth="1"/>
    <col min="5" max="5" width="24.33203125" bestFit="1" customWidth="1"/>
    <col min="6" max="6" width="21" bestFit="1" customWidth="1"/>
    <col min="7" max="7" width="22.109375" bestFit="1" customWidth="1"/>
    <col min="8" max="8" width="14.33203125" bestFit="1" customWidth="1"/>
    <col min="9" max="9" width="12.33203125" bestFit="1" customWidth="1"/>
    <col min="10" max="10" width="22.5546875" bestFit="1" customWidth="1"/>
    <col min="11" max="11" width="19.109375" bestFit="1" customWidth="1"/>
    <col min="12" max="12" width="21" bestFit="1" customWidth="1"/>
  </cols>
  <sheetData>
    <row r="3" spans="3:12" ht="25.2" x14ac:dyDescent="0.3"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</row>
    <row r="4" spans="3:12" ht="25.2" x14ac:dyDescent="0.3">
      <c r="C4" s="15">
        <v>1</v>
      </c>
      <c r="D4" s="15" t="s">
        <v>10</v>
      </c>
      <c r="E4" s="15" t="s">
        <v>16</v>
      </c>
      <c r="F4" s="15">
        <v>40000</v>
      </c>
      <c r="G4" s="15">
        <f>ROUND(F4/31,0)</f>
        <v>1290</v>
      </c>
      <c r="H4" s="15">
        <v>29</v>
      </c>
      <c r="I4" s="15">
        <v>2</v>
      </c>
      <c r="J4" s="15">
        <f>G4*H4</f>
        <v>37410</v>
      </c>
      <c r="K4" s="15">
        <v>3000</v>
      </c>
      <c r="L4" s="15">
        <f>J4-K4</f>
        <v>34410</v>
      </c>
    </row>
    <row r="5" spans="3:12" ht="25.2" x14ac:dyDescent="0.3">
      <c r="C5" s="16">
        <v>2</v>
      </c>
      <c r="D5" s="16" t="s">
        <v>11</v>
      </c>
      <c r="E5" s="16" t="s">
        <v>17</v>
      </c>
      <c r="F5" s="16">
        <v>30000</v>
      </c>
      <c r="G5" s="16">
        <f t="shared" ref="G5:G9" si="0">ROUND(F5/31,0)</f>
        <v>968</v>
      </c>
      <c r="H5" s="16">
        <v>30</v>
      </c>
      <c r="I5" s="16">
        <v>1</v>
      </c>
      <c r="J5" s="16">
        <f t="shared" ref="J5:J9" si="1">G5*H5</f>
        <v>29040</v>
      </c>
      <c r="K5" s="16">
        <v>4000</v>
      </c>
      <c r="L5" s="16">
        <f t="shared" ref="L5:L9" si="2">J5-K5</f>
        <v>25040</v>
      </c>
    </row>
    <row r="6" spans="3:12" ht="25.2" x14ac:dyDescent="0.3">
      <c r="C6" s="16">
        <v>3</v>
      </c>
      <c r="D6" s="16" t="s">
        <v>12</v>
      </c>
      <c r="E6" s="16" t="s">
        <v>19</v>
      </c>
      <c r="F6" s="16">
        <v>20000</v>
      </c>
      <c r="G6" s="16">
        <f t="shared" si="0"/>
        <v>645</v>
      </c>
      <c r="H6" s="16">
        <v>25</v>
      </c>
      <c r="I6" s="16">
        <v>6</v>
      </c>
      <c r="J6" s="16">
        <f t="shared" si="1"/>
        <v>16125</v>
      </c>
      <c r="K6" s="16">
        <v>6000</v>
      </c>
      <c r="L6" s="16">
        <f t="shared" si="2"/>
        <v>10125</v>
      </c>
    </row>
    <row r="7" spans="3:12" ht="25.2" x14ac:dyDescent="0.3">
      <c r="C7" s="16">
        <v>4</v>
      </c>
      <c r="D7" s="16" t="s">
        <v>13</v>
      </c>
      <c r="E7" s="16" t="s">
        <v>19</v>
      </c>
      <c r="F7" s="16">
        <v>60000</v>
      </c>
      <c r="G7" s="16">
        <f t="shared" si="0"/>
        <v>1935</v>
      </c>
      <c r="H7" s="16">
        <v>27</v>
      </c>
      <c r="I7" s="16">
        <v>4</v>
      </c>
      <c r="J7" s="16">
        <f t="shared" si="1"/>
        <v>52245</v>
      </c>
      <c r="K7" s="16">
        <v>4000</v>
      </c>
      <c r="L7" s="16">
        <f t="shared" si="2"/>
        <v>48245</v>
      </c>
    </row>
    <row r="8" spans="3:12" ht="25.2" x14ac:dyDescent="0.3">
      <c r="C8" s="16">
        <v>5</v>
      </c>
      <c r="D8" s="16" t="s">
        <v>14</v>
      </c>
      <c r="E8" s="16" t="s">
        <v>20</v>
      </c>
      <c r="F8" s="16">
        <v>30000</v>
      </c>
      <c r="G8" s="16">
        <f t="shared" si="0"/>
        <v>968</v>
      </c>
      <c r="H8" s="16">
        <v>28</v>
      </c>
      <c r="I8" s="16">
        <v>4</v>
      </c>
      <c r="J8" s="16">
        <f t="shared" si="1"/>
        <v>27104</v>
      </c>
      <c r="K8" s="16">
        <v>2000</v>
      </c>
      <c r="L8" s="16">
        <f t="shared" si="2"/>
        <v>25104</v>
      </c>
    </row>
    <row r="9" spans="3:12" ht="25.8" thickBot="1" x14ac:dyDescent="0.35">
      <c r="C9" s="17">
        <v>6</v>
      </c>
      <c r="D9" s="17" t="s">
        <v>15</v>
      </c>
      <c r="E9" s="17" t="s">
        <v>18</v>
      </c>
      <c r="F9" s="17">
        <v>20000</v>
      </c>
      <c r="G9" s="17">
        <f t="shared" si="0"/>
        <v>645</v>
      </c>
      <c r="H9" s="17">
        <v>26</v>
      </c>
      <c r="I9" s="17">
        <v>5</v>
      </c>
      <c r="J9" s="17">
        <f t="shared" si="1"/>
        <v>16770</v>
      </c>
      <c r="K9" s="17">
        <v>3000</v>
      </c>
      <c r="L9" s="17">
        <f t="shared" si="2"/>
        <v>13770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376E-DF43-44A7-9A07-DE0841B9DE9A}">
  <sheetPr>
    <tabColor rgb="FFFFC000"/>
  </sheetPr>
  <dimension ref="E2:J12"/>
  <sheetViews>
    <sheetView workbookViewId="0">
      <selection activeCell="F20" sqref="F20"/>
    </sheetView>
  </sheetViews>
  <sheetFormatPr defaultRowHeight="14.4" x14ac:dyDescent="0.3"/>
  <cols>
    <col min="5" max="5" width="24" bestFit="1" customWidth="1"/>
    <col min="6" max="6" width="42" bestFit="1" customWidth="1"/>
  </cols>
  <sheetData>
    <row r="2" spans="5:10" ht="23.4" thickBot="1" x14ac:dyDescent="0.45">
      <c r="E2" s="13" t="s">
        <v>24</v>
      </c>
      <c r="F2" s="13"/>
      <c r="J2" t="s">
        <v>26</v>
      </c>
    </row>
    <row r="4" spans="5:10" ht="28.2" x14ac:dyDescent="0.5">
      <c r="E4" s="3" t="s">
        <v>4</v>
      </c>
      <c r="F4" s="3" t="s">
        <v>22</v>
      </c>
    </row>
    <row r="5" spans="5:10" ht="28.2" x14ac:dyDescent="0.5">
      <c r="E5" s="4" t="s">
        <v>7</v>
      </c>
      <c r="F5" s="4" t="s">
        <v>25</v>
      </c>
    </row>
    <row r="6" spans="5:10" ht="28.8" thickBot="1" x14ac:dyDescent="0.55000000000000004">
      <c r="E6" s="5" t="s">
        <v>21</v>
      </c>
      <c r="F6" s="5" t="s">
        <v>23</v>
      </c>
    </row>
    <row r="12" spans="5:10" x14ac:dyDescent="0.3">
      <c r="F12" t="s">
        <v>26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Sheet</vt:lpstr>
      <vt:lpstr>Sheet1</vt:lpstr>
      <vt:lpstr>Formula Payroll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2023-06-15T07:15:33Z</dcterms:created>
  <dcterms:modified xsi:type="dcterms:W3CDTF">2026-02-05T10:37:21Z</dcterms:modified>
</cp:coreProperties>
</file>