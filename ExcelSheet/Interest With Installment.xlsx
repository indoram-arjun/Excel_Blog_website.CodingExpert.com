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94feae3cb1431f1/Desktop/Excel/"/>
    </mc:Choice>
  </mc:AlternateContent>
  <xr:revisionPtr revIDLastSave="24" documentId="13_ncr:1_{5A2DEA4F-0126-4C31-8884-D7EE9C9E9F7B}" xr6:coauthVersionLast="47" xr6:coauthVersionMax="47" xr10:uidLastSave="{65567071-F45B-46A3-B545-0C97F77E37D2}"/>
  <bookViews>
    <workbookView xWindow="-108" yWindow="-108" windowWidth="23256" windowHeight="12456" activeTab="2" xr2:uid="{4AE94763-BD80-42DC-96DD-C726AEDF9968}"/>
  </bookViews>
  <sheets>
    <sheet name="Interest With Installment" sheetId="1" r:id="rId1"/>
    <sheet name="Sheet1" sheetId="3" r:id="rId2"/>
    <sheet name="Sheet3" sheetId="5" r:id="rId3"/>
    <sheet name="Sheet2" sheetId="4" r:id="rId4"/>
    <sheet name="Formula for Interest With Insta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9" i="3" l="1"/>
  <c r="F2" i="5"/>
  <c r="E2" i="5"/>
  <c r="G2" i="5"/>
  <c r="X7" i="3"/>
  <c r="X6" i="3"/>
  <c r="F4" i="4" a="1"/>
  <c r="F4" i="4" s="1"/>
  <c r="G3" i="5"/>
  <c r="G4" i="5"/>
  <c r="G5" i="5"/>
  <c r="G6" i="5"/>
  <c r="G7" i="5"/>
  <c r="G8" i="5"/>
  <c r="G9" i="5"/>
  <c r="G10" i="5"/>
  <c r="G11" i="5"/>
  <c r="F3" i="5"/>
  <c r="F4" i="5"/>
  <c r="F5" i="5"/>
  <c r="F6" i="5"/>
  <c r="F7" i="5"/>
  <c r="F8" i="5"/>
  <c r="F9" i="5"/>
  <c r="F10" i="5"/>
  <c r="F11" i="5"/>
  <c r="E3" i="5"/>
  <c r="E4" i="5"/>
  <c r="E5" i="5"/>
  <c r="E6" i="5"/>
  <c r="E7" i="5"/>
  <c r="E8" i="5"/>
  <c r="E9" i="5"/>
  <c r="E10" i="5"/>
  <c r="E11" i="5"/>
  <c r="F5" i="4" a="1"/>
  <c r="F5" i="4" s="1"/>
  <c r="F6" i="4" a="1"/>
  <c r="F6" i="4"/>
  <c r="F7" i="4" a="1"/>
  <c r="F7" i="4"/>
  <c r="F8" i="4" a="1"/>
  <c r="F8" i="4"/>
  <c r="F9" i="4" a="1"/>
  <c r="F9" i="4"/>
  <c r="F10" i="4" a="1"/>
  <c r="F10" i="4"/>
  <c r="F11" i="4" a="1"/>
  <c r="F11" i="4" s="1"/>
  <c r="F12" i="4" a="1"/>
  <c r="F12" i="4" s="1"/>
  <c r="F13" i="4" a="1"/>
  <c r="F13" i="4"/>
  <c r="F14" i="4" a="1"/>
  <c r="F14" i="4"/>
  <c r="F15" i="4" a="1"/>
  <c r="F15" i="4"/>
  <c r="F16" i="4" a="1"/>
  <c r="F16" i="4"/>
  <c r="F17" i="4" a="1"/>
  <c r="F17" i="4" s="1"/>
  <c r="F18" i="4" a="1"/>
  <c r="F18" i="4"/>
  <c r="F19" i="4" a="1"/>
  <c r="F19" i="4"/>
  <c r="F20" i="4" a="1"/>
  <c r="F20" i="4"/>
  <c r="F21" i="4" a="1"/>
  <c r="F21" i="4"/>
  <c r="F22" i="4" a="1"/>
  <c r="F22" i="4"/>
  <c r="F23" i="4" a="1"/>
  <c r="F23" i="4" s="1"/>
  <c r="F24" i="4" a="1"/>
  <c r="F24" i="4"/>
  <c r="F25" i="4" a="1"/>
  <c r="F25" i="4"/>
  <c r="F26" i="4" a="1"/>
  <c r="F26" i="4"/>
  <c r="F27" i="4" a="1"/>
  <c r="F27" i="4"/>
  <c r="F28" i="4" a="1"/>
  <c r="F28" i="4" s="1"/>
  <c r="F29" i="4" a="1"/>
  <c r="F29" i="4" s="1"/>
  <c r="F30" i="4" a="1"/>
  <c r="F30" i="4"/>
  <c r="F31" i="4" a="1"/>
  <c r="F31" i="4" s="1"/>
  <c r="F32" i="4" a="1"/>
  <c r="F32" i="4"/>
  <c r="F33" i="4" a="1"/>
  <c r="F33" i="4" s="1"/>
  <c r="N5" i="1"/>
  <c r="M5" i="1"/>
  <c r="L5" i="1"/>
  <c r="K5" i="1"/>
  <c r="J5" i="1"/>
  <c r="H5" i="1"/>
  <c r="K6" i="1"/>
  <c r="K7" i="1"/>
  <c r="K8" i="1"/>
  <c r="K9" i="1"/>
  <c r="K10" i="1"/>
  <c r="K11" i="1"/>
  <c r="K12" i="1"/>
  <c r="K13" i="1"/>
  <c r="K14" i="1"/>
  <c r="H9" i="1"/>
  <c r="J9" i="1" s="1"/>
  <c r="H10" i="1"/>
  <c r="H6" i="1"/>
  <c r="J6" i="1" s="1"/>
  <c r="H7" i="1"/>
  <c r="J7" i="1" s="1"/>
  <c r="H8" i="1"/>
  <c r="J8" i="1" s="1"/>
  <c r="J10" i="1"/>
  <c r="H11" i="1"/>
  <c r="J11" i="1" s="1"/>
  <c r="L11" i="1" s="1"/>
  <c r="H12" i="1"/>
  <c r="J12" i="1" s="1"/>
  <c r="H13" i="1"/>
  <c r="J13" i="1" s="1"/>
  <c r="H14" i="1"/>
  <c r="J14" i="1" s="1"/>
  <c r="L14" i="1" s="1"/>
  <c r="L12" i="1" l="1"/>
  <c r="M12" i="1" s="1"/>
  <c r="N12" i="1" s="1"/>
  <c r="L13" i="1"/>
  <c r="M13" i="1" s="1"/>
  <c r="N13" i="1" s="1"/>
  <c r="M11" i="1"/>
  <c r="N11" i="1" s="1"/>
  <c r="L9" i="1"/>
  <c r="M9" i="1" s="1"/>
  <c r="N9" i="1" s="1"/>
  <c r="M14" i="1"/>
  <c r="N14" i="1" s="1"/>
  <c r="L6" i="1"/>
  <c r="M6" i="1" s="1"/>
  <c r="N6" i="1" s="1"/>
  <c r="L10" i="1" l="1"/>
  <c r="M10" i="1" s="1"/>
  <c r="N10" i="1" s="1"/>
  <c r="L7" i="1"/>
  <c r="M7" i="1" s="1"/>
  <c r="N7" i="1" s="1"/>
  <c r="L8" i="1"/>
  <c r="M8" i="1" s="1"/>
  <c r="N8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<sst xmlns="http://schemas.openxmlformats.org/spreadsheetml/2006/main" count="134" uniqueCount="75">
  <si>
    <t>Serial No</t>
  </si>
  <si>
    <t>Name</t>
  </si>
  <si>
    <t>Product Name</t>
  </si>
  <si>
    <t>Actual Rate</t>
  </si>
  <si>
    <t>Down Payment</t>
  </si>
  <si>
    <t>After Down Payment</t>
  </si>
  <si>
    <t>Month</t>
  </si>
  <si>
    <t>Installment</t>
  </si>
  <si>
    <t>Interest Installment</t>
  </si>
  <si>
    <t>Interest With Installment</t>
  </si>
  <si>
    <t>Total Amount</t>
  </si>
  <si>
    <t>Grand Total</t>
  </si>
  <si>
    <t>Mahi</t>
  </si>
  <si>
    <t>Priya</t>
  </si>
  <si>
    <t>Rahul</t>
  </si>
  <si>
    <t>Rajat</t>
  </si>
  <si>
    <t>Neha</t>
  </si>
  <si>
    <t>Akki</t>
  </si>
  <si>
    <t>Mehak</t>
  </si>
  <si>
    <t>Muskan</t>
  </si>
  <si>
    <t>Ali</t>
  </si>
  <si>
    <t>Ashraf</t>
  </si>
  <si>
    <t>Mouse</t>
  </si>
  <si>
    <t>Scanner</t>
  </si>
  <si>
    <t>Printer</t>
  </si>
  <si>
    <t>Laptop</t>
  </si>
  <si>
    <t>Desktop</t>
  </si>
  <si>
    <t>Tab</t>
  </si>
  <si>
    <t>Actual Rate-Down Payment</t>
  </si>
  <si>
    <t>After Down Payment / Month</t>
  </si>
  <si>
    <t>Installment + Interest Installment</t>
  </si>
  <si>
    <t>Interest With Installment * Month</t>
  </si>
  <si>
    <t>Total Amount + Down Payment</t>
  </si>
  <si>
    <t>Installment*3%  (According To Interest)</t>
  </si>
  <si>
    <t>Formula For Interest With Installment</t>
  </si>
  <si>
    <t>Interest With Installment Sheet</t>
  </si>
  <si>
    <t>Sr No</t>
  </si>
  <si>
    <t>Rate (₹)</t>
  </si>
  <si>
    <t>Description</t>
  </si>
  <si>
    <t>Smartphone</t>
  </si>
  <si>
    <t>Headphones</t>
  </si>
  <si>
    <t>Keyboard</t>
  </si>
  <si>
    <t>Monitor</t>
  </si>
  <si>
    <t>Tablet</t>
  </si>
  <si>
    <t>Smart Watch</t>
  </si>
  <si>
    <t>Power Bank</t>
  </si>
  <si>
    <t>Charger</t>
  </si>
  <si>
    <t>USB Cable</t>
  </si>
  <si>
    <t>Speaker</t>
  </si>
  <si>
    <t>Router</t>
  </si>
  <si>
    <t>Hard Drive</t>
  </si>
  <si>
    <t>SSD</t>
  </si>
  <si>
    <t>Pen Drive</t>
  </si>
  <si>
    <t>Webcam</t>
  </si>
  <si>
    <t>Microphone</t>
  </si>
  <si>
    <t>Graphics Card</t>
  </si>
  <si>
    <t>CPU Processor</t>
  </si>
  <si>
    <t>Motherboard</t>
  </si>
  <si>
    <t>RAM</t>
  </si>
  <si>
    <t>Cabinet</t>
  </si>
  <si>
    <t>Cooling Fan</t>
  </si>
  <si>
    <t>UPS</t>
  </si>
  <si>
    <t>Extension Board</t>
  </si>
  <si>
    <t>Projector</t>
  </si>
  <si>
    <t>LED TV</t>
  </si>
  <si>
    <t>Rating</t>
  </si>
  <si>
    <t>Entered Name</t>
  </si>
  <si>
    <t>HEADPHONES</t>
  </si>
  <si>
    <t>mouse</t>
  </si>
  <si>
    <t>printer</t>
  </si>
  <si>
    <t>Smart watch</t>
  </si>
  <si>
    <t>Result</t>
  </si>
  <si>
    <t>Without exact function</t>
  </si>
  <si>
    <t>With exact function</t>
  </si>
  <si>
    <t>laptop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</si>
</sst>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8"/>
      <color theme="1"/>
      <name val="Times New Roman"/>
      <family val="1"/>
    </font>
    <font>
      <sz val="20"/>
      <color theme="1"/>
      <name val="Times New Roman"/>
      <family val="1"/>
    </font>
    <font>
      <b/>
      <sz val="28"/>
      <color theme="8" tint="-0.499984740745262"/>
      <name val="Times New Roman"/>
      <family val="1"/>
    </font>
    <font>
      <sz val="28"/>
      <color theme="1"/>
      <name val="Times New Roman"/>
      <family val="1"/>
    </font>
    <font>
      <sz val="28"/>
      <color rgb="FFFF0000"/>
      <name val="Times New Roman"/>
      <family val="1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2" borderId="1" xfId="0" applyFont="1" applyFill="1" applyBorder="1"/>
    <xf numFmtId="0" fontId="2" fillId="2" borderId="2" xfId="0" applyFont="1" applyFill="1" applyBorder="1"/>
    <xf numFmtId="0" fontId="2" fillId="0" borderId="2" xfId="0" applyFont="1" applyBorder="1"/>
    <xf numFmtId="0" fontId="2" fillId="0" borderId="0" xfId="0" applyFont="1"/>
    <xf numFmtId="0" fontId="5" fillId="0" borderId="0" xfId="0" applyFont="1"/>
    <xf numFmtId="0" fontId="3" fillId="2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3" fontId="4" fillId="0" borderId="3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7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0" fillId="0" borderId="3" xfId="0" applyBorder="1"/>
    <xf numFmtId="0" fontId="4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58DB5-94C9-46A4-914B-3B584EC80D0A}">
  <sheetPr codeName="Sheet1">
    <tabColor theme="2" tint="-0.499984740745262"/>
  </sheetPr>
  <dimension ref="C2:O14"/>
  <sheetViews>
    <sheetView zoomScale="53" zoomScaleNormal="40" workbookViewId="0">
      <selection activeCell="E25" sqref="E25"/>
    </sheetView>
  </sheetViews>
  <sheetFormatPr defaultRowHeight="22.8" x14ac:dyDescent="0.4"/>
  <cols>
    <col min="3" max="3" width="23.5546875" style="1" bestFit="1" customWidth="1"/>
    <col min="4" max="4" width="19.33203125" style="1" bestFit="1" customWidth="1"/>
    <col min="5" max="5" width="36" style="1" bestFit="1" customWidth="1"/>
    <col min="6" max="6" width="29.44140625" style="1" bestFit="1" customWidth="1"/>
    <col min="7" max="7" width="37.88671875" style="1" bestFit="1" customWidth="1"/>
    <col min="8" max="8" width="51.44140625" style="1" bestFit="1" customWidth="1"/>
    <col min="9" max="9" width="17.44140625" style="1" bestFit="1" customWidth="1"/>
    <col min="10" max="10" width="35.6640625" style="1" bestFit="1" customWidth="1"/>
    <col min="11" max="11" width="48.88671875" style="1" bestFit="1" customWidth="1"/>
    <col min="12" max="12" width="62.109375" style="1" bestFit="1" customWidth="1"/>
    <col min="13" max="13" width="34.6640625" style="1" bestFit="1" customWidth="1"/>
    <col min="14" max="14" width="31.109375" style="1" bestFit="1" customWidth="1"/>
    <col min="15" max="15" width="9.109375" style="1"/>
  </cols>
  <sheetData>
    <row r="2" spans="3:14" ht="36" thickBot="1" x14ac:dyDescent="0.65">
      <c r="H2" s="17" t="s">
        <v>35</v>
      </c>
      <c r="I2" s="17"/>
      <c r="J2" s="17"/>
      <c r="K2" s="17"/>
    </row>
    <row r="3" spans="3:14" x14ac:dyDescent="0.4">
      <c r="H3"/>
      <c r="I3"/>
      <c r="J3"/>
      <c r="K3"/>
    </row>
    <row r="4" spans="3:14" ht="34.799999999999997" x14ac:dyDescent="0.4">
      <c r="C4" s="8" t="s">
        <v>0</v>
      </c>
      <c r="D4" s="8" t="s">
        <v>1</v>
      </c>
      <c r="E4" s="8" t="s">
        <v>2</v>
      </c>
      <c r="F4" s="8" t="s">
        <v>3</v>
      </c>
      <c r="G4" s="8" t="s">
        <v>4</v>
      </c>
      <c r="H4" s="8" t="s">
        <v>5</v>
      </c>
      <c r="I4" s="8" t="s">
        <v>6</v>
      </c>
      <c r="J4" s="8" t="s">
        <v>7</v>
      </c>
      <c r="K4" s="8" t="s">
        <v>8</v>
      </c>
      <c r="L4" s="8" t="s">
        <v>9</v>
      </c>
      <c r="M4" s="8" t="s">
        <v>10</v>
      </c>
      <c r="N4" s="8" t="s">
        <v>11</v>
      </c>
    </row>
    <row r="5" spans="3:14" ht="35.4" x14ac:dyDescent="0.4">
      <c r="C5" s="9">
        <v>1</v>
      </c>
      <c r="D5" s="9" t="s">
        <v>12</v>
      </c>
      <c r="E5" s="9" t="s">
        <v>22</v>
      </c>
      <c r="F5" s="9">
        <v>2000</v>
      </c>
      <c r="G5" s="9">
        <v>100</v>
      </c>
      <c r="H5" s="9">
        <f>F5-G5</f>
        <v>1900</v>
      </c>
      <c r="I5" s="9">
        <v>12</v>
      </c>
      <c r="J5" s="10">
        <f>H5/I5</f>
        <v>158.33333333333334</v>
      </c>
      <c r="K5" s="10">
        <f>J5*3%</f>
        <v>4.75</v>
      </c>
      <c r="L5" s="10">
        <f>J5+K5</f>
        <v>163.08333333333334</v>
      </c>
      <c r="M5" s="9">
        <f>L5*I5</f>
        <v>1957</v>
      </c>
      <c r="N5" s="9">
        <f>M5+G5</f>
        <v>2057</v>
      </c>
    </row>
    <row r="6" spans="3:14" ht="35.4" x14ac:dyDescent="0.4">
      <c r="C6" s="9">
        <v>2</v>
      </c>
      <c r="D6" s="9" t="s">
        <v>13</v>
      </c>
      <c r="E6" s="9" t="s">
        <v>23</v>
      </c>
      <c r="F6" s="9">
        <v>2000</v>
      </c>
      <c r="G6" s="9">
        <v>1000</v>
      </c>
      <c r="H6" s="9">
        <f t="shared" ref="H6:H14" si="0">F6-G6</f>
        <v>1000</v>
      </c>
      <c r="I6" s="9">
        <v>13</v>
      </c>
      <c r="J6" s="9">
        <f t="shared" ref="J6:J14" si="1">ROUND(H6/I6,0)</f>
        <v>77</v>
      </c>
      <c r="K6" s="10">
        <f t="shared" ref="K6:K14" si="2">J6*3%</f>
        <v>2.31</v>
      </c>
      <c r="L6" s="10">
        <f t="shared" ref="L6:L9" si="3">J6+K6</f>
        <v>79.31</v>
      </c>
      <c r="M6" s="9">
        <f t="shared" ref="M6:M14" si="4">L6*I6</f>
        <v>1031.03</v>
      </c>
      <c r="N6" s="9">
        <f>M6+G6</f>
        <v>2031.03</v>
      </c>
    </row>
    <row r="7" spans="3:14" ht="35.4" x14ac:dyDescent="0.4">
      <c r="C7" s="9">
        <v>3</v>
      </c>
      <c r="D7" s="9" t="s">
        <v>14</v>
      </c>
      <c r="E7" s="9" t="s">
        <v>24</v>
      </c>
      <c r="F7" s="11">
        <v>15000</v>
      </c>
      <c r="G7" s="11">
        <v>10000</v>
      </c>
      <c r="H7" s="9">
        <f t="shared" si="0"/>
        <v>5000</v>
      </c>
      <c r="I7" s="9">
        <v>12</v>
      </c>
      <c r="J7" s="9">
        <f t="shared" si="1"/>
        <v>417</v>
      </c>
      <c r="K7" s="10">
        <f t="shared" si="2"/>
        <v>12.51</v>
      </c>
      <c r="L7" s="10">
        <f>J7+K7</f>
        <v>429.51</v>
      </c>
      <c r="M7" s="9">
        <f t="shared" si="4"/>
        <v>5154.12</v>
      </c>
      <c r="N7" s="9">
        <f t="shared" ref="N7:N14" si="5">M7+G7</f>
        <v>15154.119999999999</v>
      </c>
    </row>
    <row r="8" spans="3:14" ht="35.4" x14ac:dyDescent="0.4">
      <c r="C8" s="9">
        <v>4</v>
      </c>
      <c r="D8" s="9" t="s">
        <v>15</v>
      </c>
      <c r="E8" s="9" t="s">
        <v>25</v>
      </c>
      <c r="F8" s="11">
        <v>40000</v>
      </c>
      <c r="G8" s="11">
        <v>20000</v>
      </c>
      <c r="H8" s="9">
        <f t="shared" si="0"/>
        <v>20000</v>
      </c>
      <c r="I8" s="9">
        <v>14</v>
      </c>
      <c r="J8" s="9">
        <f t="shared" si="1"/>
        <v>1429</v>
      </c>
      <c r="K8" s="10">
        <f t="shared" si="2"/>
        <v>42.87</v>
      </c>
      <c r="L8" s="10">
        <f t="shared" si="3"/>
        <v>1471.87</v>
      </c>
      <c r="M8" s="9">
        <f t="shared" si="4"/>
        <v>20606.18</v>
      </c>
      <c r="N8" s="9">
        <f t="shared" si="5"/>
        <v>40606.18</v>
      </c>
    </row>
    <row r="9" spans="3:14" ht="35.4" x14ac:dyDescent="0.4">
      <c r="C9" s="9">
        <v>5</v>
      </c>
      <c r="D9" s="9" t="s">
        <v>16</v>
      </c>
      <c r="E9" s="9" t="s">
        <v>26</v>
      </c>
      <c r="F9" s="11">
        <v>30000</v>
      </c>
      <c r="G9" s="11">
        <v>10000</v>
      </c>
      <c r="H9" s="9">
        <f t="shared" si="0"/>
        <v>20000</v>
      </c>
      <c r="I9" s="9">
        <v>23</v>
      </c>
      <c r="J9" s="9">
        <f t="shared" si="1"/>
        <v>870</v>
      </c>
      <c r="K9" s="10">
        <f t="shared" si="2"/>
        <v>26.099999999999998</v>
      </c>
      <c r="L9" s="10">
        <f t="shared" si="3"/>
        <v>896.1</v>
      </c>
      <c r="M9" s="9">
        <f t="shared" si="4"/>
        <v>20610.3</v>
      </c>
      <c r="N9" s="9">
        <f t="shared" si="5"/>
        <v>30610.3</v>
      </c>
    </row>
    <row r="10" spans="3:14" ht="35.4" x14ac:dyDescent="0.4">
      <c r="C10" s="9">
        <v>6</v>
      </c>
      <c r="D10" s="9" t="s">
        <v>17</v>
      </c>
      <c r="E10" s="9" t="s">
        <v>27</v>
      </c>
      <c r="F10" s="11">
        <v>20000</v>
      </c>
      <c r="G10" s="11">
        <v>10000</v>
      </c>
      <c r="H10" s="9">
        <f t="shared" si="0"/>
        <v>10000</v>
      </c>
      <c r="I10" s="9">
        <v>12</v>
      </c>
      <c r="J10" s="9">
        <f t="shared" si="1"/>
        <v>833</v>
      </c>
      <c r="K10" s="10">
        <f t="shared" si="2"/>
        <v>24.99</v>
      </c>
      <c r="L10" s="10">
        <f>J10+K10</f>
        <v>857.99</v>
      </c>
      <c r="M10" s="9">
        <f t="shared" si="4"/>
        <v>10295.880000000001</v>
      </c>
      <c r="N10" s="9">
        <f t="shared" si="5"/>
        <v>20295.88</v>
      </c>
    </row>
    <row r="11" spans="3:14" ht="35.4" x14ac:dyDescent="0.4">
      <c r="C11" s="9">
        <v>7</v>
      </c>
      <c r="D11" s="9" t="s">
        <v>18</v>
      </c>
      <c r="E11" s="9" t="s">
        <v>22</v>
      </c>
      <c r="F11" s="9">
        <v>2000</v>
      </c>
      <c r="G11" s="9">
        <v>1000</v>
      </c>
      <c r="H11" s="9">
        <f t="shared" si="0"/>
        <v>1000</v>
      </c>
      <c r="I11" s="9">
        <v>12</v>
      </c>
      <c r="J11" s="9">
        <f t="shared" si="1"/>
        <v>83</v>
      </c>
      <c r="K11" s="10">
        <f t="shared" si="2"/>
        <v>2.4899999999999998</v>
      </c>
      <c r="L11" s="10">
        <f t="shared" ref="L11:L14" si="6">J11+K11</f>
        <v>85.49</v>
      </c>
      <c r="M11" s="9">
        <f t="shared" si="4"/>
        <v>1025.8799999999999</v>
      </c>
      <c r="N11" s="9">
        <f t="shared" si="5"/>
        <v>2025.8799999999999</v>
      </c>
    </row>
    <row r="12" spans="3:14" ht="35.4" x14ac:dyDescent="0.4">
      <c r="C12" s="9">
        <v>8</v>
      </c>
      <c r="D12" s="9" t="s">
        <v>19</v>
      </c>
      <c r="E12" s="9" t="s">
        <v>24</v>
      </c>
      <c r="F12" s="11">
        <v>20000</v>
      </c>
      <c r="G12" s="11">
        <v>15000</v>
      </c>
      <c r="H12" s="9">
        <f t="shared" si="0"/>
        <v>5000</v>
      </c>
      <c r="I12" s="9">
        <v>11</v>
      </c>
      <c r="J12" s="9">
        <f t="shared" si="1"/>
        <v>455</v>
      </c>
      <c r="K12" s="10">
        <f t="shared" si="2"/>
        <v>13.65</v>
      </c>
      <c r="L12" s="10">
        <f t="shared" si="6"/>
        <v>468.65</v>
      </c>
      <c r="M12" s="9">
        <f t="shared" si="4"/>
        <v>5155.1499999999996</v>
      </c>
      <c r="N12" s="9">
        <f t="shared" si="5"/>
        <v>20155.150000000001</v>
      </c>
    </row>
    <row r="13" spans="3:14" ht="35.4" x14ac:dyDescent="0.4">
      <c r="C13" s="9">
        <v>9</v>
      </c>
      <c r="D13" s="9" t="s">
        <v>20</v>
      </c>
      <c r="E13" s="9" t="s">
        <v>23</v>
      </c>
      <c r="F13" s="11">
        <v>20000</v>
      </c>
      <c r="G13" s="11">
        <v>12000</v>
      </c>
      <c r="H13" s="9">
        <f t="shared" si="0"/>
        <v>8000</v>
      </c>
      <c r="I13" s="9">
        <v>10</v>
      </c>
      <c r="J13" s="9">
        <f t="shared" si="1"/>
        <v>800</v>
      </c>
      <c r="K13" s="10">
        <f t="shared" si="2"/>
        <v>24</v>
      </c>
      <c r="L13" s="10">
        <f t="shared" si="6"/>
        <v>824</v>
      </c>
      <c r="M13" s="9">
        <f t="shared" si="4"/>
        <v>8240</v>
      </c>
      <c r="N13" s="9">
        <f t="shared" si="5"/>
        <v>20240</v>
      </c>
    </row>
    <row r="14" spans="3:14" ht="35.4" x14ac:dyDescent="0.4">
      <c r="C14" s="9">
        <v>10</v>
      </c>
      <c r="D14" s="9" t="s">
        <v>21</v>
      </c>
      <c r="E14" s="9" t="s">
        <v>25</v>
      </c>
      <c r="F14" s="11">
        <v>450000</v>
      </c>
      <c r="G14" s="11">
        <v>50000</v>
      </c>
      <c r="H14" s="9">
        <f t="shared" si="0"/>
        <v>400000</v>
      </c>
      <c r="I14" s="9">
        <v>12</v>
      </c>
      <c r="J14" s="9">
        <f t="shared" si="1"/>
        <v>33333</v>
      </c>
      <c r="K14" s="10">
        <f t="shared" si="2"/>
        <v>999.99</v>
      </c>
      <c r="L14" s="10">
        <f t="shared" si="6"/>
        <v>34332.99</v>
      </c>
      <c r="M14" s="9">
        <f t="shared" si="4"/>
        <v>411995.88</v>
      </c>
      <c r="N14" s="9">
        <f t="shared" si="5"/>
        <v>461995.88</v>
      </c>
    </row>
  </sheetData>
  <mergeCells count="1">
    <mergeCell ref="H2:K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FB327-EF53-4C96-8C20-9793C93EA820}">
  <dimension ref="D5:X15"/>
  <sheetViews>
    <sheetView zoomScale="55" workbookViewId="0">
      <selection activeCell="N10" sqref="N10"/>
    </sheetView>
  </sheetViews>
  <sheetFormatPr defaultRowHeight="14.4" x14ac:dyDescent="0.3"/>
  <cols>
    <col min="4" max="4" width="22.88671875" bestFit="1" customWidth="1"/>
    <col min="5" max="5" width="18.6640625" bestFit="1" customWidth="1"/>
    <col min="6" max="6" width="34.77734375" bestFit="1" customWidth="1"/>
    <col min="7" max="7" width="28.88671875" bestFit="1" customWidth="1"/>
    <col min="13" max="13" width="34.77734375" bestFit="1" customWidth="1"/>
    <col min="14" max="14" width="28.88671875" bestFit="1" customWidth="1"/>
  </cols>
  <sheetData>
    <row r="5" spans="4:24" ht="34.799999999999997" x14ac:dyDescent="0.3">
      <c r="D5" s="8" t="s">
        <v>0</v>
      </c>
      <c r="E5" s="8" t="s">
        <v>1</v>
      </c>
      <c r="F5" s="8" t="s">
        <v>2</v>
      </c>
      <c r="G5" s="8" t="s">
        <v>3</v>
      </c>
    </row>
    <row r="6" spans="4:24" ht="35.4" x14ac:dyDescent="0.3">
      <c r="D6" s="9">
        <v>1</v>
      </c>
      <c r="E6" s="9" t="s">
        <v>12</v>
      </c>
      <c r="F6" s="9" t="s">
        <v>22</v>
      </c>
      <c r="G6" s="9">
        <v>2000</v>
      </c>
      <c r="V6">
        <v>3</v>
      </c>
      <c r="X6" t="b">
        <f>V6&gt;2</f>
        <v>1</v>
      </c>
    </row>
    <row r="7" spans="4:24" ht="35.4" x14ac:dyDescent="0.3">
      <c r="D7" s="9">
        <v>2</v>
      </c>
      <c r="E7" s="9" t="s">
        <v>13</v>
      </c>
      <c r="F7" s="9" t="s">
        <v>23</v>
      </c>
      <c r="G7" s="9">
        <v>2000</v>
      </c>
      <c r="X7" t="str">
        <f>IF(V6&gt;2,"Yes","No")</f>
        <v>Yes</v>
      </c>
    </row>
    <row r="8" spans="4:24" ht="35.4" x14ac:dyDescent="0.3">
      <c r="D8" s="9">
        <v>3</v>
      </c>
      <c r="E8" s="9" t="s">
        <v>14</v>
      </c>
      <c r="F8" s="9" t="s">
        <v>24</v>
      </c>
      <c r="G8" s="11">
        <v>15000</v>
      </c>
      <c r="M8" s="8" t="s">
        <v>2</v>
      </c>
      <c r="N8" s="8" t="s">
        <v>3</v>
      </c>
    </row>
    <row r="9" spans="4:24" ht="35.4" x14ac:dyDescent="0.3">
      <c r="D9" s="9">
        <v>4</v>
      </c>
      <c r="E9" s="9" t="s">
        <v>15</v>
      </c>
      <c r="F9" s="9" t="s">
        <v>25</v>
      </c>
      <c r="G9" s="11">
        <v>40000</v>
      </c>
      <c r="M9" s="9" t="s">
        <v>23</v>
      </c>
      <c r="N9">
        <f>SUMIF(F5:F15,M9,G5:G15)</f>
        <v>22000</v>
      </c>
    </row>
    <row r="10" spans="4:24" ht="35.4" x14ac:dyDescent="0.3">
      <c r="D10" s="9">
        <v>5</v>
      </c>
      <c r="E10" s="9" t="s">
        <v>16</v>
      </c>
      <c r="F10" s="9" t="s">
        <v>26</v>
      </c>
      <c r="G10" s="11">
        <v>30000</v>
      </c>
    </row>
    <row r="11" spans="4:24" ht="35.4" x14ac:dyDescent="0.3">
      <c r="D11" s="9">
        <v>6</v>
      </c>
      <c r="E11" s="9" t="s">
        <v>17</v>
      </c>
      <c r="F11" s="9" t="s">
        <v>27</v>
      </c>
      <c r="G11" s="11">
        <v>20000</v>
      </c>
    </row>
    <row r="12" spans="4:24" ht="35.4" x14ac:dyDescent="0.3">
      <c r="D12" s="9">
        <v>7</v>
      </c>
      <c r="E12" s="9" t="s">
        <v>18</v>
      </c>
      <c r="F12" s="9" t="s">
        <v>22</v>
      </c>
      <c r="G12" s="9">
        <v>2000</v>
      </c>
    </row>
    <row r="13" spans="4:24" ht="35.4" x14ac:dyDescent="0.3">
      <c r="D13" s="9">
        <v>8</v>
      </c>
      <c r="E13" s="9" t="s">
        <v>19</v>
      </c>
      <c r="F13" s="9" t="s">
        <v>24</v>
      </c>
      <c r="G13" s="11">
        <v>20000</v>
      </c>
    </row>
    <row r="14" spans="4:24" ht="35.4" x14ac:dyDescent="0.3">
      <c r="D14" s="9">
        <v>9</v>
      </c>
      <c r="E14" s="9" t="s">
        <v>20</v>
      </c>
      <c r="F14" s="9" t="s">
        <v>23</v>
      </c>
      <c r="G14" s="11">
        <v>20000</v>
      </c>
    </row>
    <row r="15" spans="4:24" ht="35.4" x14ac:dyDescent="0.3">
      <c r="D15" s="9">
        <v>10</v>
      </c>
      <c r="E15" s="9" t="s">
        <v>21</v>
      </c>
      <c r="F15" s="9" t="s">
        <v>25</v>
      </c>
      <c r="G15" s="11">
        <v>450000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7FD55-0DFE-48C2-B0B3-7F28D10818D8}">
  <dimension ref="B1:G11"/>
  <sheetViews>
    <sheetView tabSelected="1" zoomScale="185" workbookViewId="0">
      <selection activeCell="F7" sqref="F7"/>
    </sheetView>
  </sheetViews>
  <sheetFormatPr defaultRowHeight="14.4" x14ac:dyDescent="0.3"/>
  <cols>
    <col min="2" max="2" width="5.5546875" bestFit="1" customWidth="1"/>
    <col min="3" max="3" width="13.21875" bestFit="1" customWidth="1"/>
    <col min="4" max="4" width="13.109375" bestFit="1" customWidth="1"/>
    <col min="6" max="6" width="23" bestFit="1" customWidth="1"/>
    <col min="7" max="7" width="20.5546875" bestFit="1" customWidth="1"/>
  </cols>
  <sheetData>
    <row r="1" spans="2:7" x14ac:dyDescent="0.3">
      <c r="B1" s="12" t="s">
        <v>36</v>
      </c>
      <c r="C1" s="12" t="s">
        <v>2</v>
      </c>
      <c r="D1" s="12" t="s">
        <v>66</v>
      </c>
      <c r="E1" s="12" t="s">
        <v>71</v>
      </c>
      <c r="F1" s="12" t="s">
        <v>73</v>
      </c>
      <c r="G1" s="12" t="s">
        <v>72</v>
      </c>
    </row>
    <row r="2" spans="2:7" x14ac:dyDescent="0.3">
      <c r="B2" s="13">
        <v>1</v>
      </c>
      <c r="C2" s="13" t="s">
        <v>25</v>
      </c>
      <c r="D2" s="13" t="s">
        <v>74</v>
      </c>
      <c r="E2" s="16" t="b">
        <f>EXACT(C2,D2)</f>
        <v>0</v>
      </c>
      <c r="F2" s="16" t="str">
        <f>IF(EXACT(C2,D2),"Yes","No")</f>
        <v>No</v>
      </c>
      <c r="G2" s="16" t="str">
        <f>IF(C2=D2,"yes","No")</f>
        <v>yes</v>
      </c>
    </row>
    <row r="3" spans="2:7" x14ac:dyDescent="0.3">
      <c r="B3" s="13">
        <v>2</v>
      </c>
      <c r="C3" s="13" t="s">
        <v>39</v>
      </c>
      <c r="D3" s="13" t="s">
        <v>39</v>
      </c>
      <c r="E3" s="16" t="b">
        <f t="shared" ref="E3:E11" si="0">EXACT(C3,D3)</f>
        <v>1</v>
      </c>
      <c r="F3" s="16" t="str">
        <f t="shared" ref="F3:F11" si="1">IF(EXACT(C3,D3),"Yes","No")</f>
        <v>Yes</v>
      </c>
      <c r="G3" s="16" t="str">
        <f t="shared" ref="G3:G11" si="2">IF(C3=D3,"yes","No")</f>
        <v>yes</v>
      </c>
    </row>
    <row r="4" spans="2:7" x14ac:dyDescent="0.3">
      <c r="B4" s="13">
        <v>3</v>
      </c>
      <c r="C4" s="13" t="s">
        <v>40</v>
      </c>
      <c r="D4" s="13" t="s">
        <v>67</v>
      </c>
      <c r="E4" s="16" t="b">
        <f t="shared" si="0"/>
        <v>0</v>
      </c>
      <c r="F4" s="16" t="str">
        <f t="shared" si="1"/>
        <v>No</v>
      </c>
      <c r="G4" s="16" t="str">
        <f t="shared" si="2"/>
        <v>yes</v>
      </c>
    </row>
    <row r="5" spans="2:7" x14ac:dyDescent="0.3">
      <c r="B5" s="13">
        <v>4</v>
      </c>
      <c r="C5" s="13" t="s">
        <v>41</v>
      </c>
      <c r="D5" s="13" t="s">
        <v>41</v>
      </c>
      <c r="E5" s="16" t="b">
        <f t="shared" si="0"/>
        <v>1</v>
      </c>
      <c r="F5" s="16" t="str">
        <f t="shared" si="1"/>
        <v>Yes</v>
      </c>
      <c r="G5" s="16" t="str">
        <f t="shared" si="2"/>
        <v>yes</v>
      </c>
    </row>
    <row r="6" spans="2:7" x14ac:dyDescent="0.3">
      <c r="B6" s="13">
        <v>5</v>
      </c>
      <c r="C6" s="13" t="s">
        <v>22</v>
      </c>
      <c r="D6" s="13" t="s">
        <v>68</v>
      </c>
      <c r="E6" s="16" t="b">
        <f t="shared" si="0"/>
        <v>0</v>
      </c>
      <c r="F6" s="16" t="str">
        <f t="shared" si="1"/>
        <v>No</v>
      </c>
      <c r="G6" s="16" t="str">
        <f t="shared" si="2"/>
        <v>yes</v>
      </c>
    </row>
    <row r="7" spans="2:7" x14ac:dyDescent="0.3">
      <c r="B7" s="13">
        <v>6</v>
      </c>
      <c r="C7" s="13" t="s">
        <v>42</v>
      </c>
      <c r="D7" s="13" t="s">
        <v>42</v>
      </c>
      <c r="E7" s="16" t="b">
        <f t="shared" si="0"/>
        <v>1</v>
      </c>
      <c r="F7" s="16" t="str">
        <f t="shared" si="1"/>
        <v>Yes</v>
      </c>
      <c r="G7" s="16" t="str">
        <f t="shared" si="2"/>
        <v>yes</v>
      </c>
    </row>
    <row r="8" spans="2:7" x14ac:dyDescent="0.3">
      <c r="B8" s="13">
        <v>7</v>
      </c>
      <c r="C8" s="13" t="s">
        <v>24</v>
      </c>
      <c r="D8" s="13" t="s">
        <v>69</v>
      </c>
      <c r="E8" s="16" t="b">
        <f t="shared" si="0"/>
        <v>0</v>
      </c>
      <c r="F8" s="16" t="str">
        <f t="shared" si="1"/>
        <v>No</v>
      </c>
      <c r="G8" s="16" t="str">
        <f t="shared" si="2"/>
        <v>yes</v>
      </c>
    </row>
    <row r="9" spans="2:7" x14ac:dyDescent="0.3">
      <c r="B9" s="13">
        <v>8</v>
      </c>
      <c r="C9" s="13" t="s">
        <v>43</v>
      </c>
      <c r="D9" s="13" t="s">
        <v>43</v>
      </c>
      <c r="E9" s="16" t="b">
        <f t="shared" si="0"/>
        <v>1</v>
      </c>
      <c r="F9" s="16" t="str">
        <f t="shared" si="1"/>
        <v>Yes</v>
      </c>
      <c r="G9" s="16" t="str">
        <f t="shared" si="2"/>
        <v>yes</v>
      </c>
    </row>
    <row r="10" spans="2:7" x14ac:dyDescent="0.3">
      <c r="B10" s="13">
        <v>9</v>
      </c>
      <c r="C10" s="13" t="s">
        <v>44</v>
      </c>
      <c r="D10" s="13" t="s">
        <v>70</v>
      </c>
      <c r="E10" s="16" t="b">
        <f t="shared" si="0"/>
        <v>0</v>
      </c>
      <c r="F10" s="16" t="str">
        <f t="shared" si="1"/>
        <v>No</v>
      </c>
      <c r="G10" s="16" t="str">
        <f t="shared" si="2"/>
        <v>yes</v>
      </c>
    </row>
    <row r="11" spans="2:7" x14ac:dyDescent="0.3">
      <c r="B11" s="13">
        <v>10</v>
      </c>
      <c r="C11" s="13" t="s">
        <v>45</v>
      </c>
      <c r="D11" s="13" t="s">
        <v>45</v>
      </c>
      <c r="E11" s="16" t="b">
        <f t="shared" si="0"/>
        <v>1</v>
      </c>
      <c r="F11" s="16" t="str">
        <f t="shared" si="1"/>
        <v>Yes</v>
      </c>
      <c r="G11" s="16" t="str">
        <f t="shared" si="2"/>
        <v>yes</v>
      </c>
    </row>
  </sheetData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71BCF-EA4B-4964-92E4-8EFEDC1029C4}">
  <dimension ref="B3:F33"/>
  <sheetViews>
    <sheetView zoomScale="52" workbookViewId="0">
      <selection activeCell="F5" sqref="F5"/>
    </sheetView>
  </sheetViews>
  <sheetFormatPr defaultRowHeight="14.4" x14ac:dyDescent="0.3"/>
  <cols>
    <col min="2" max="2" width="8.109375" bestFit="1" customWidth="1"/>
    <col min="3" max="3" width="21.109375" bestFit="1" customWidth="1"/>
    <col min="4" max="4" width="10.88671875" bestFit="1" customWidth="1"/>
    <col min="5" max="5" width="10.88671875" customWidth="1"/>
    <col min="6" max="6" width="32" bestFit="1" customWidth="1"/>
  </cols>
  <sheetData>
    <row r="3" spans="2:6" ht="21" x14ac:dyDescent="0.3">
      <c r="B3" s="14" t="s">
        <v>36</v>
      </c>
      <c r="C3" s="14" t="s">
        <v>2</v>
      </c>
      <c r="D3" s="14" t="s">
        <v>37</v>
      </c>
      <c r="E3" s="14" t="s">
        <v>65</v>
      </c>
      <c r="F3" s="14" t="s">
        <v>38</v>
      </c>
    </row>
    <row r="4" spans="2:6" ht="21" x14ac:dyDescent="0.3">
      <c r="B4" s="15">
        <v>1</v>
      </c>
      <c r="C4" s="15" t="s">
        <v>25</v>
      </c>
      <c r="D4" s="15">
        <v>55000</v>
      </c>
      <c r="E4" s="15">
        <v>2</v>
      </c>
      <c r="F4" s="15" t="str" cm="1">
        <f t="array" ref="F4">_xlfn.SWITCH(E4,1,"Very Poor",2,"Poor",3,"Ok",4,"Good",5,"Very Good")</f>
        <v>Poor</v>
      </c>
    </row>
    <row r="5" spans="2:6" ht="21" x14ac:dyDescent="0.3">
      <c r="B5" s="15">
        <v>2</v>
      </c>
      <c r="C5" s="15" t="s">
        <v>39</v>
      </c>
      <c r="D5" s="15">
        <v>20000</v>
      </c>
      <c r="E5" s="15">
        <v>2</v>
      </c>
      <c r="F5" s="15" t="str" cm="1">
        <f t="array" ref="F5">_xlfn.SWITCH(E5,1,"Very Poor",2,"Poor",3,"Ok",4,"Good",5,"Very Good")</f>
        <v>Poor</v>
      </c>
    </row>
    <row r="6" spans="2:6" ht="21" x14ac:dyDescent="0.3">
      <c r="B6" s="15">
        <v>3</v>
      </c>
      <c r="C6" s="15" t="s">
        <v>40</v>
      </c>
      <c r="D6" s="15">
        <v>1500</v>
      </c>
      <c r="E6" s="15">
        <v>4</v>
      </c>
      <c r="F6" s="15" t="str" cm="1">
        <f t="array" ref="F6">_xlfn.SWITCH(E6,1,"Very Poor",2,"Poor",3,"Ok",4,"Good",5,"Very Good")</f>
        <v>Good</v>
      </c>
    </row>
    <row r="7" spans="2:6" ht="21" x14ac:dyDescent="0.3">
      <c r="B7" s="15">
        <v>4</v>
      </c>
      <c r="C7" s="15" t="s">
        <v>41</v>
      </c>
      <c r="D7" s="15">
        <v>800</v>
      </c>
      <c r="E7" s="15">
        <v>2</v>
      </c>
      <c r="F7" s="15" t="str" cm="1">
        <f t="array" ref="F7">_xlfn.SWITCH(E7,1,"Very Poor",2,"Poor",3,"Ok",4,"Good",5,"Very Good")</f>
        <v>Poor</v>
      </c>
    </row>
    <row r="8" spans="2:6" ht="21" x14ac:dyDescent="0.3">
      <c r="B8" s="15">
        <v>5</v>
      </c>
      <c r="C8" s="15" t="s">
        <v>22</v>
      </c>
      <c r="D8" s="15">
        <v>500</v>
      </c>
      <c r="E8" s="15">
        <v>4</v>
      </c>
      <c r="F8" s="15" t="str" cm="1">
        <f t="array" ref="F8">_xlfn.SWITCH(E8,1,"Very Poor",2,"Poor",3,"Ok",4,"Good",5,"Very Good")</f>
        <v>Good</v>
      </c>
    </row>
    <row r="9" spans="2:6" ht="21" x14ac:dyDescent="0.3">
      <c r="B9" s="15">
        <v>6</v>
      </c>
      <c r="C9" s="15" t="s">
        <v>42</v>
      </c>
      <c r="D9" s="15">
        <v>12000</v>
      </c>
      <c r="E9" s="15">
        <v>3</v>
      </c>
      <c r="F9" s="15" t="str" cm="1">
        <f t="array" ref="F9">_xlfn.SWITCH(E9,1,"Very Poor",2,"Poor",3,"Ok",4,"Good",5,"Very Good")</f>
        <v>Ok</v>
      </c>
    </row>
    <row r="10" spans="2:6" ht="21" x14ac:dyDescent="0.3">
      <c r="B10" s="15">
        <v>7</v>
      </c>
      <c r="C10" s="15" t="s">
        <v>24</v>
      </c>
      <c r="D10" s="15">
        <v>7000</v>
      </c>
      <c r="E10" s="15">
        <v>2</v>
      </c>
      <c r="F10" s="15" t="str" cm="1">
        <f t="array" ref="F10">_xlfn.SWITCH(E10,1,"Very Poor",2,"Poor",3,"Ok",4,"Good",5,"Very Good")</f>
        <v>Poor</v>
      </c>
    </row>
    <row r="11" spans="2:6" ht="21" x14ac:dyDescent="0.3">
      <c r="B11" s="15">
        <v>8</v>
      </c>
      <c r="C11" s="15" t="s">
        <v>43</v>
      </c>
      <c r="D11" s="15">
        <v>18000</v>
      </c>
      <c r="E11" s="15">
        <v>4</v>
      </c>
      <c r="F11" s="15" t="str" cm="1">
        <f t="array" ref="F11">_xlfn.SWITCH(E11,1,"Very Poor",2,"Poor",3,"Ok",4,"Good",5,"Very Good")</f>
        <v>Good</v>
      </c>
    </row>
    <row r="12" spans="2:6" ht="21" x14ac:dyDescent="0.3">
      <c r="B12" s="15">
        <v>9</v>
      </c>
      <c r="C12" s="15" t="s">
        <v>44</v>
      </c>
      <c r="D12" s="15">
        <v>2500</v>
      </c>
      <c r="E12" s="15">
        <v>5</v>
      </c>
      <c r="F12" s="15" t="str" cm="1">
        <f t="array" ref="F12">_xlfn.SWITCH(E12,1,"Very Poor",2,"Poor",3,"Ok",4,"Good",5,"Very Good")</f>
        <v>Very Good</v>
      </c>
    </row>
    <row r="13" spans="2:6" ht="21" x14ac:dyDescent="0.3">
      <c r="B13" s="15">
        <v>10</v>
      </c>
      <c r="C13" s="15" t="s">
        <v>45</v>
      </c>
      <c r="D13" s="15">
        <v>1200</v>
      </c>
      <c r="E13" s="15">
        <v>3</v>
      </c>
      <c r="F13" s="15" t="str" cm="1">
        <f t="array" ref="F13">_xlfn.SWITCH(E13,1,"Very Poor",2,"Poor",3,"Ok",4,"Good",5,"Very Good")</f>
        <v>Ok</v>
      </c>
    </row>
    <row r="14" spans="2:6" ht="21" x14ac:dyDescent="0.3">
      <c r="B14" s="15">
        <v>11</v>
      </c>
      <c r="C14" s="15" t="s">
        <v>46</v>
      </c>
      <c r="D14" s="15">
        <v>600</v>
      </c>
      <c r="E14" s="15">
        <v>5</v>
      </c>
      <c r="F14" s="15" t="str" cm="1">
        <f t="array" ref="F14">_xlfn.SWITCH(E14,1,"Very Poor",2,"Poor",3,"Ok",4,"Good",5,"Very Good")</f>
        <v>Very Good</v>
      </c>
    </row>
    <row r="15" spans="2:6" ht="21" x14ac:dyDescent="0.3">
      <c r="B15" s="15">
        <v>12</v>
      </c>
      <c r="C15" s="15" t="s">
        <v>47</v>
      </c>
      <c r="D15" s="15">
        <v>200</v>
      </c>
      <c r="E15" s="15">
        <v>4</v>
      </c>
      <c r="F15" s="15" t="str" cm="1">
        <f t="array" ref="F15">_xlfn.SWITCH(E15,1,"Very Poor",2,"Poor",3,"Ok",4,"Good",5,"Very Good")</f>
        <v>Good</v>
      </c>
    </row>
    <row r="16" spans="2:6" ht="21" x14ac:dyDescent="0.3">
      <c r="B16" s="15">
        <v>13</v>
      </c>
      <c r="C16" s="15" t="s">
        <v>48</v>
      </c>
      <c r="D16" s="15">
        <v>2200</v>
      </c>
      <c r="E16" s="15">
        <v>5</v>
      </c>
      <c r="F16" s="15" t="str" cm="1">
        <f t="array" ref="F16">_xlfn.SWITCH(E16,1,"Very Poor",2,"Poor",3,"Ok",4,"Good",5,"Very Good")</f>
        <v>Very Good</v>
      </c>
    </row>
    <row r="17" spans="2:6" ht="21" x14ac:dyDescent="0.3">
      <c r="B17" s="15">
        <v>14</v>
      </c>
      <c r="C17" s="15" t="s">
        <v>49</v>
      </c>
      <c r="D17" s="15">
        <v>1800</v>
      </c>
      <c r="E17" s="15">
        <v>2</v>
      </c>
      <c r="F17" s="15" t="str" cm="1">
        <f t="array" ref="F17">_xlfn.SWITCH(E17,1,"Very Poor",2,"Poor",3,"Ok",4,"Good",5,"Very Good")</f>
        <v>Poor</v>
      </c>
    </row>
    <row r="18" spans="2:6" ht="21" x14ac:dyDescent="0.3">
      <c r="B18" s="15">
        <v>15</v>
      </c>
      <c r="C18" s="15" t="s">
        <v>50</v>
      </c>
      <c r="D18" s="15">
        <v>4000</v>
      </c>
      <c r="E18" s="15">
        <v>4</v>
      </c>
      <c r="F18" s="15" t="str" cm="1">
        <f t="array" ref="F18">_xlfn.SWITCH(E18,1,"Very Poor",2,"Poor",3,"Ok",4,"Good",5,"Very Good")</f>
        <v>Good</v>
      </c>
    </row>
    <row r="19" spans="2:6" ht="21" x14ac:dyDescent="0.3">
      <c r="B19" s="15">
        <v>16</v>
      </c>
      <c r="C19" s="15" t="s">
        <v>51</v>
      </c>
      <c r="D19" s="15">
        <v>5000</v>
      </c>
      <c r="E19" s="15">
        <v>1</v>
      </c>
      <c r="F19" s="15" t="str" cm="1">
        <f t="array" ref="F19">_xlfn.SWITCH(E19,1,"Very Poor",2,"Poor",3,"Ok",4,"Good",5,"Very Good")</f>
        <v>Very Poor</v>
      </c>
    </row>
    <row r="20" spans="2:6" ht="21" x14ac:dyDescent="0.3">
      <c r="B20" s="15">
        <v>17</v>
      </c>
      <c r="C20" s="15" t="s">
        <v>52</v>
      </c>
      <c r="D20" s="15">
        <v>700</v>
      </c>
      <c r="E20" s="15">
        <v>1</v>
      </c>
      <c r="F20" s="15" t="str" cm="1">
        <f t="array" ref="F20">_xlfn.SWITCH(E20,1,"Very Poor",2,"Poor",3,"Ok",4,"Good",5,"Very Good")</f>
        <v>Very Poor</v>
      </c>
    </row>
    <row r="21" spans="2:6" ht="21" x14ac:dyDescent="0.3">
      <c r="B21" s="15">
        <v>18</v>
      </c>
      <c r="C21" s="15" t="s">
        <v>53</v>
      </c>
      <c r="D21" s="15">
        <v>1500</v>
      </c>
      <c r="E21" s="15">
        <v>1</v>
      </c>
      <c r="F21" s="15" t="str" cm="1">
        <f t="array" ref="F21">_xlfn.SWITCH(E21,1,"Very Poor",2,"Poor",3,"Ok",4,"Good",5,"Very Good")</f>
        <v>Very Poor</v>
      </c>
    </row>
    <row r="22" spans="2:6" ht="21" x14ac:dyDescent="0.3">
      <c r="B22" s="15">
        <v>19</v>
      </c>
      <c r="C22" s="15" t="s">
        <v>54</v>
      </c>
      <c r="D22" s="15">
        <v>2000</v>
      </c>
      <c r="E22" s="15">
        <v>1</v>
      </c>
      <c r="F22" s="15" t="str" cm="1">
        <f t="array" ref="F22">_xlfn.SWITCH(E22,1,"Very Poor",2,"Poor",3,"Ok",4,"Good",5,"Very Good")</f>
        <v>Very Poor</v>
      </c>
    </row>
    <row r="23" spans="2:6" ht="21" x14ac:dyDescent="0.3">
      <c r="B23" s="15">
        <v>20</v>
      </c>
      <c r="C23" s="15" t="s">
        <v>55</v>
      </c>
      <c r="D23" s="15">
        <v>30000</v>
      </c>
      <c r="E23" s="15">
        <v>2</v>
      </c>
      <c r="F23" s="15" t="str" cm="1">
        <f t="array" ref="F23">_xlfn.SWITCH(E23,1,"Very Poor",2,"Poor",3,"Ok",4,"Good",5,"Very Good")</f>
        <v>Poor</v>
      </c>
    </row>
    <row r="24" spans="2:6" ht="21" x14ac:dyDescent="0.3">
      <c r="B24" s="15">
        <v>21</v>
      </c>
      <c r="C24" s="15" t="s">
        <v>56</v>
      </c>
      <c r="D24" s="15">
        <v>15000</v>
      </c>
      <c r="E24" s="15">
        <v>4</v>
      </c>
      <c r="F24" s="15" t="str" cm="1">
        <f t="array" ref="F24">_xlfn.SWITCH(E24,1,"Very Poor",2,"Poor",3,"Ok",4,"Good",5,"Very Good")</f>
        <v>Good</v>
      </c>
    </row>
    <row r="25" spans="2:6" ht="21" x14ac:dyDescent="0.3">
      <c r="B25" s="15">
        <v>22</v>
      </c>
      <c r="C25" s="15" t="s">
        <v>57</v>
      </c>
      <c r="D25" s="15">
        <v>9000</v>
      </c>
      <c r="E25" s="15">
        <v>5</v>
      </c>
      <c r="F25" s="15" t="str" cm="1">
        <f t="array" ref="F25">_xlfn.SWITCH(E25,1,"Very Poor",2,"Poor",3,"Ok",4,"Good",5,"Very Good")</f>
        <v>Very Good</v>
      </c>
    </row>
    <row r="26" spans="2:6" ht="21" x14ac:dyDescent="0.3">
      <c r="B26" s="15">
        <v>23</v>
      </c>
      <c r="C26" s="15" t="s">
        <v>58</v>
      </c>
      <c r="D26" s="15">
        <v>3500</v>
      </c>
      <c r="E26" s="15">
        <v>2</v>
      </c>
      <c r="F26" s="15" t="str" cm="1">
        <f t="array" ref="F26">_xlfn.SWITCH(E26,1,"Very Poor",2,"Poor",3,"Ok",4,"Good",5,"Very Good")</f>
        <v>Poor</v>
      </c>
    </row>
    <row r="27" spans="2:6" ht="21" x14ac:dyDescent="0.3">
      <c r="B27" s="15">
        <v>24</v>
      </c>
      <c r="C27" s="15" t="s">
        <v>59</v>
      </c>
      <c r="D27" s="15">
        <v>4000</v>
      </c>
      <c r="E27" s="15">
        <v>4</v>
      </c>
      <c r="F27" s="15" t="str" cm="1">
        <f t="array" ref="F27">_xlfn.SWITCH(E27,1,"Very Poor",2,"Poor",3,"Ok",4,"Good",5,"Very Good")</f>
        <v>Good</v>
      </c>
    </row>
    <row r="28" spans="2:6" ht="21" x14ac:dyDescent="0.3">
      <c r="B28" s="15">
        <v>25</v>
      </c>
      <c r="C28" s="15" t="s">
        <v>60</v>
      </c>
      <c r="D28" s="15">
        <v>600</v>
      </c>
      <c r="E28" s="15">
        <v>5</v>
      </c>
      <c r="F28" s="15" t="str" cm="1">
        <f t="array" ref="F28">_xlfn.SWITCH(E28,1,"Very Poor",2,"Poor",3,"Ok",4,"Good",5,"Very Good")</f>
        <v>Very Good</v>
      </c>
    </row>
    <row r="29" spans="2:6" ht="21" x14ac:dyDescent="0.3">
      <c r="B29" s="15">
        <v>26</v>
      </c>
      <c r="C29" s="15" t="s">
        <v>61</v>
      </c>
      <c r="D29" s="15">
        <v>3000</v>
      </c>
      <c r="E29" s="15">
        <v>5</v>
      </c>
      <c r="F29" s="15" t="str" cm="1">
        <f t="array" ref="F29">_xlfn.SWITCH(E29,1,"Very Poor",2,"Poor",3,"Ok",4,"Good",5,"Very Good")</f>
        <v>Very Good</v>
      </c>
    </row>
    <row r="30" spans="2:6" ht="21" x14ac:dyDescent="0.3">
      <c r="B30" s="15">
        <v>27</v>
      </c>
      <c r="C30" s="15" t="s">
        <v>62</v>
      </c>
      <c r="D30" s="15">
        <v>400</v>
      </c>
      <c r="E30" s="15">
        <v>2</v>
      </c>
      <c r="F30" s="15" t="str" cm="1">
        <f t="array" ref="F30">_xlfn.SWITCH(E30,1,"Very Poor",2,"Poor",3,"Ok",4,"Good",5,"Very Good")</f>
        <v>Poor</v>
      </c>
    </row>
    <row r="31" spans="2:6" ht="21" x14ac:dyDescent="0.3">
      <c r="B31" s="15">
        <v>28</v>
      </c>
      <c r="C31" s="15" t="s">
        <v>63</v>
      </c>
      <c r="D31" s="15">
        <v>25000</v>
      </c>
      <c r="E31" s="15">
        <v>4</v>
      </c>
      <c r="F31" s="15" t="str" cm="1">
        <f t="array" ref="F31">_xlfn.SWITCH(E31,1,"Very Poor",2,"Poor",3,"Ok",4,"Good",5,"Very Good")</f>
        <v>Good</v>
      </c>
    </row>
    <row r="32" spans="2:6" ht="21" x14ac:dyDescent="0.3">
      <c r="B32" s="15">
        <v>29</v>
      </c>
      <c r="C32" s="15" t="s">
        <v>23</v>
      </c>
      <c r="D32" s="15">
        <v>6000</v>
      </c>
      <c r="E32" s="15">
        <v>5</v>
      </c>
      <c r="F32" s="15" t="str" cm="1">
        <f t="array" ref="F32">_xlfn.SWITCH(E32,1,"Very Poor",2,"Poor",3,"Ok",4,"Good",5,"Very Good")</f>
        <v>Very Good</v>
      </c>
    </row>
    <row r="33" spans="2:6" ht="21" x14ac:dyDescent="0.3">
      <c r="B33" s="15">
        <v>30</v>
      </c>
      <c r="C33" s="15" t="s">
        <v>64</v>
      </c>
      <c r="D33" s="15">
        <v>45000</v>
      </c>
      <c r="E33" s="15">
        <v>2</v>
      </c>
      <c r="F33" s="15" t="str" cm="1">
        <f t="array" ref="F33">_xlfn.SWITCH(E33,1,"Very Poor",2,"Poor",3,"Ok",4,"Good",5,"Very Good")</f>
        <v>Poor</v>
      </c>
    </row>
  </sheetData>
  <conditionalFormatting sqref="F4:F33">
    <cfRule type="containsText" dxfId="4" priority="1" operator="containsText" text="very good">
      <formula>NOT(ISERROR(SEARCH("very good",F4)))</formula>
    </cfRule>
    <cfRule type="containsText" dxfId="3" priority="2" operator="containsText" text="Good">
      <formula>NOT(ISERROR(SEARCH("Good",F4)))</formula>
    </cfRule>
    <cfRule type="containsText" dxfId="2" priority="3" operator="containsText" text="Ok">
      <formula>NOT(ISERROR(SEARCH("Ok",F4)))</formula>
    </cfRule>
    <cfRule type="containsText" dxfId="1" priority="4" operator="containsText" text="very poor">
      <formula>NOT(ISERROR(SEARCH("very poor",F4)))</formula>
    </cfRule>
    <cfRule type="containsText" dxfId="0" priority="5" operator="containsText" text="poor">
      <formula>NOT(ISERROR(SEARCH("poor",F4)))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14DFE-0DE1-4D5E-8CC9-5FEA653EC368}">
  <sheetPr codeName="Sheet2"/>
  <dimension ref="D3:G11"/>
  <sheetViews>
    <sheetView workbookViewId="0">
      <selection activeCell="E12" sqref="E12"/>
    </sheetView>
  </sheetViews>
  <sheetFormatPr defaultRowHeight="14.4" x14ac:dyDescent="0.3"/>
  <cols>
    <col min="4" max="4" width="41.33203125" bestFit="1" customWidth="1"/>
    <col min="5" max="5" width="66.44140625" bestFit="1" customWidth="1"/>
  </cols>
  <sheetData>
    <row r="3" spans="4:7" ht="25.8" thickBot="1" x14ac:dyDescent="0.5">
      <c r="D3" s="18" t="s">
        <v>34</v>
      </c>
      <c r="E3" s="18"/>
    </row>
    <row r="5" spans="4:7" ht="25.8" thickBot="1" x14ac:dyDescent="0.5">
      <c r="D5" s="3" t="s">
        <v>5</v>
      </c>
      <c r="E5" s="2" t="s">
        <v>28</v>
      </c>
    </row>
    <row r="6" spans="4:7" ht="25.8" thickBot="1" x14ac:dyDescent="0.5">
      <c r="D6" s="4" t="s">
        <v>7</v>
      </c>
      <c r="E6" s="5" t="s">
        <v>29</v>
      </c>
    </row>
    <row r="7" spans="4:7" ht="25.8" thickBot="1" x14ac:dyDescent="0.5">
      <c r="D7" s="4" t="s">
        <v>8</v>
      </c>
      <c r="E7" s="5" t="s">
        <v>33</v>
      </c>
    </row>
    <row r="8" spans="4:7" ht="25.8" thickBot="1" x14ac:dyDescent="0.5">
      <c r="D8" s="3" t="s">
        <v>9</v>
      </c>
      <c r="E8" s="5" t="s">
        <v>30</v>
      </c>
    </row>
    <row r="9" spans="4:7" ht="25.8" thickBot="1" x14ac:dyDescent="0.5">
      <c r="D9" s="4" t="s">
        <v>10</v>
      </c>
      <c r="E9" s="5" t="s">
        <v>31</v>
      </c>
    </row>
    <row r="10" spans="4:7" ht="36" thickBot="1" x14ac:dyDescent="0.65">
      <c r="D10" s="3" t="s">
        <v>11</v>
      </c>
      <c r="E10" s="2" t="s">
        <v>32</v>
      </c>
      <c r="G10" s="7"/>
    </row>
    <row r="11" spans="4:7" ht="25.2" x14ac:dyDescent="0.45">
      <c r="E11" s="6"/>
    </row>
  </sheetData>
  <mergeCells count="1">
    <mergeCell ref="D3:E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Interest With Installment</vt:lpstr>
      <vt:lpstr>Sheet1</vt:lpstr>
      <vt:lpstr>Sheet3</vt:lpstr>
      <vt:lpstr>Sheet2</vt:lpstr>
      <vt:lpstr>Formula for Interest With Insta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Aamna</dc:creator>
  <cp:lastModifiedBy>ARJUN INDORAM</cp:lastModifiedBy>
  <cp:lastPrinted>2023-06-27T11:20:16Z</cp:lastPrinted>
  <dcterms:created xsi:type="dcterms:W3CDTF">2023-05-24T13:45:02Z</dcterms:created>
  <dcterms:modified xsi:type="dcterms:W3CDTF">2026-02-25T12:45:34Z</dcterms:modified>
</cp:coreProperties>
</file>